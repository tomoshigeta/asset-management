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" sheetId="1" state="visible" r:id="rId1"/>
    <sheet name="基本情報" sheetId="2" state="visible" r:id="rId2"/>
    <sheet name="不動産" sheetId="3" state="visible" r:id="rId3"/>
    <sheet name="有価証券" sheetId="4" state="visible" r:id="rId4"/>
    <sheet name="保険" sheetId="5" state="visible" r:id="rId5"/>
    <sheet name="預貯金" sheetId="6" state="visible" r:id="rId6"/>
    <sheet name="その他の借入" sheetId="7" state="visible" r:id="rId7"/>
    <sheet name="検算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#,##0;(#,##0);-"/>
    <numFmt numFmtId="166" formatCode="0.00&quot;%&quot;"/>
    <numFmt numFmtId="167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AFAFA"/>
      </patternFill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2" borderId="1" pivotButton="0" quotePrefix="0" xfId="0"/>
    <xf numFmtId="0" fontId="0" fillId="3" borderId="1" pivotButton="0" quotePrefix="0" xfId="0"/>
    <xf numFmtId="0" fontId="4" fillId="4" borderId="1" pivotButton="0" quotePrefix="0" xfId="0"/>
    <xf numFmtId="0" fontId="1" fillId="0" borderId="0" pivotButton="0" quotePrefix="0" xfId="0"/>
    <xf numFmtId="0" fontId="5" fillId="5" borderId="1" pivotButton="0" quotePrefix="0" xfId="0"/>
    <xf numFmtId="0" fontId="3" fillId="0" borderId="1" pivotButton="0" quotePrefix="0" xfId="0"/>
    <xf numFmtId="0" fontId="6" fillId="2" borderId="1" applyAlignment="1" pivotButton="0" quotePrefix="0" xfId="0">
      <alignment horizontal="left"/>
    </xf>
    <xf numFmtId="0" fontId="7" fillId="0" borderId="1" pivotButton="0" quotePrefix="0" xfId="0"/>
    <xf numFmtId="49" fontId="6" fillId="2" borderId="1" applyAlignment="1" pivotButton="0" quotePrefix="0" xfId="0">
      <alignment horizontal="left"/>
    </xf>
    <xf numFmtId="0" fontId="2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164" fontId="8" fillId="3" borderId="1" pivotButton="0" quotePrefix="0" xfId="0"/>
    <xf numFmtId="0" fontId="6" fillId="2" borderId="1" pivotButton="0" quotePrefix="0" xfId="0"/>
    <xf numFmtId="164" fontId="6" fillId="2" borderId="1" pivotButton="0" quotePrefix="0" xfId="0"/>
    <xf numFmtId="0" fontId="5" fillId="5" borderId="1" applyAlignment="1" pivotButton="0" quotePrefix="0" xfId="0">
      <alignment horizontal="center" vertical="center" wrapText="1"/>
    </xf>
    <xf numFmtId="164" fontId="4" fillId="4" borderId="1" pivotButton="0" quotePrefix="0" xfId="0"/>
    <xf numFmtId="165" fontId="4" fillId="4" borderId="1" pivotButton="0" quotePrefix="0" xfId="0"/>
    <xf numFmtId="166" fontId="4" fillId="4" borderId="1" pivotButton="0" quotePrefix="0" xfId="0"/>
    <xf numFmtId="165" fontId="6" fillId="2" borderId="1" pivotButton="0" quotePrefix="0" xfId="0"/>
    <xf numFmtId="166" fontId="6" fillId="2" borderId="1" pivotButton="0" quotePrefix="0" xfId="0"/>
    <xf numFmtId="165" fontId="8" fillId="3" borderId="1" pivotButton="0" quotePrefix="0" xfId="0"/>
    <xf numFmtId="165" fontId="2" fillId="0" borderId="1" pivotButton="0" quotePrefix="0" xfId="0"/>
    <xf numFmtId="0" fontId="2" fillId="0" borderId="1" pivotButton="0" quotePrefix="0" xfId="0"/>
    <xf numFmtId="165" fontId="2" fillId="3" borderId="1" pivotButton="0" quotePrefix="0" xfId="0"/>
    <xf numFmtId="167" fontId="8" fillId="3" borderId="1" pivotButton="0" quotePrefix="0" xfId="0"/>
    <xf numFmtId="0" fontId="8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入力シート</author>
  </authors>
  <commentList>
    <comment ref="G4" authorId="0" shapeId="0">
      <text>
        <t>借りたときの金額です。「残債」は今あといくら残っているか。差額が「累計返済額」として自動で出ます。</t>
      </text>
    </comment>
    <comment ref="I4" authorId="0" shapeId="0">
      <text>
        <t>今売ったらいくらか、の推定額です。空欄で構いません。右の「月間総収入」と「実質利回り」を入れると収益還元法で自動計算します。査定書などの金額を直接入れたいときは、この欄に数字を上書きしてください。全物件に入れると①サマリーに総資産と純資産が出ます。1件でも空欄なら出しません。</t>
      </text>
    </comment>
    <comment ref="J4" authorId="0" shapeId="0">
      <text>
        <t>収益還元法で時価を出すときの、1か月あたりの総収入（満室想定）です。共益費などを含む場合は「家賃収入(月)」と違う金額になって構いません。ここから管理費と修繕積立金を引いて12倍し、年間の純収益にします。</t>
      </text>
    </comment>
    <comment ref="K4" authorId="0" shapeId="0">
      <text>
        <t>実質利回りを % のまま入れてください。4% なら「4」、3.5% なら「3.5」です。0.04 のように小数で入れる必要はありません（シートが100で割ります）。</t>
      </text>
    </comment>
    <comment ref="M4" authorId="0" shapeId="0">
      <text>
        <t>その時価をどう出したか。例: 不動産会社の査定書 / 取引事例 / 路線価から換算 / 自己推定。空欄で構いませんが、書いておくと後から根拠をたどれます。</t>
      </text>
    </comment>
    <comment ref="P4" authorId="0" shapeId="0">
      <text>
        <t>契約したときの期間です（残りの期間ではありません）。26年11か月なら「年」に 26、「か月」に 11。ちょうど20年なら 20 と 0。返済回数しか分からないときは 12 で割った商と余りを入れてください。</t>
      </text>
    </comment>
    <comment ref="V4" authorId="0" shapeId="0">
      <text>
        <t>年額を入れてください。1年ぶんです。右の「固定資産税(月)」は 12 で割った平均月額で、自動計算です。</t>
      </text>
    </comment>
  </commentList>
</comments>
</file>

<file path=xl/comments/comment2.xml><?xml version="1.0" encoding="utf-8"?>
<comments xmlns="http://schemas.openxmlformats.org/spreadsheetml/2006/main">
  <authors>
    <author>入力シート</author>
  </authors>
  <commentList>
    <comment ref="C5" authorId="0" shapeId="0">
      <text>
        <t>「基本情報」タブの為替レートに書いた通貨だけ使えます。</t>
      </text>
    </comment>
  </commentList>
</comments>
</file>

<file path=xl/comments/comment3.xml><?xml version="1.0" encoding="utf-8"?>
<comments xmlns="http://schemas.openxmlformats.org/spreadsheetml/2006/main">
  <authors>
    <author>入力シート</author>
  </authors>
  <commentList>
    <comment ref="D6" authorId="0" shapeId="0">
      <text>
        <t>これまでに払った保険料の合計です。取得原価にあたります。</t>
      </text>
    </comment>
    <comment ref="G6" authorId="0" shapeId="0">
      <text>
        <t>解約返戻金が「いつ時点」の数字かを入れます。基準日とズレていて構いません（画面にそのまま出ます）。</t>
      </text>
    </comment>
  </commentList>
</comments>
</file>

<file path=xl/comments/comment4.xml><?xml version="1.0" encoding="utf-8"?>
<comments xmlns="http://schemas.openxmlformats.org/spreadsheetml/2006/main">
  <authors>
    <author>入力シート</author>
  </authors>
  <commentList>
    <comment ref="B5" authorId="0" shapeId="0">
      <text>
        <t>一覧から選んでください。ここで選んだ種類が、提出用ページの円グラフの分類になります。「車」を選んだものだけが自動車ローンとして集計されます。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96" customWidth="1" min="3" max="3"/>
  </cols>
  <sheetData>
    <row r="2">
      <c r="B2" s="1" t="inlineStr">
        <is>
          <t>資産ダッシュボード 入力シート</t>
        </is>
      </c>
    </row>
    <row r="4">
      <c r="B4" s="2" t="inlineStr">
        <is>
          <t>使い方は3ステップ</t>
        </is>
      </c>
    </row>
    <row r="5">
      <c r="B5" s="3" t="inlineStr">
        <is>
          <t>1. 下のタブ（基本情報・不動産・有価証券・預貯金・その他の借入）を順に埋めます。</t>
        </is>
      </c>
    </row>
    <row r="6">
      <c r="B6" s="3" t="inlineStr">
        <is>
          <t>2. 「ファイル → 名前を変えて保存」で my-assets.xlsx として保存します（この白紙のひな形は残しておきます）。</t>
        </is>
      </c>
    </row>
    <row r="7">
      <c r="B7" s="3" t="inlineStr">
        <is>
          <t>3. このファイルを Claude とのチャットに送ります。my-assets.json に変換してお返しします。</t>
        </is>
      </c>
    </row>
    <row r="9">
      <c r="B9" s="2" t="inlineStr">
        <is>
          <t>セルの色の意味</t>
        </is>
      </c>
    </row>
    <row r="10">
      <c r="B10" s="4" t="n"/>
      <c r="C10" s="3" t="inlineStr">
        <is>
          <t>薄い黄色　＝　あなたが入れる欄（文字は青）</t>
        </is>
      </c>
    </row>
    <row r="11">
      <c r="B11" s="5" t="n"/>
      <c r="C11" s="3" t="inlineStr">
        <is>
          <t>薄い灰色　＝　Excel が自動で計算する欄（さわらないでください）</t>
        </is>
      </c>
    </row>
    <row r="12">
      <c r="B12" s="6" t="inlineStr">
        <is>
          <t>（例）</t>
        </is>
      </c>
      <c r="C12" s="3" t="inlineStr">
        <is>
          <t>灰色の斜体　＝　書き方の見本。消しても残しても構いません（変換のとき読み飛ばします）</t>
        </is>
      </c>
    </row>
    <row r="14">
      <c r="B14" s="2" t="inlineStr">
        <is>
          <t>入力するときの決まり</t>
        </is>
      </c>
    </row>
    <row r="15">
      <c r="B15" s="3" t="inlineStr">
        <is>
          <t>・金額は「円」で入れます。1万円は 10000 です。カンマ（,）は自分で打たなくて構いません。</t>
        </is>
      </c>
    </row>
    <row r="16">
      <c r="B16" s="3" t="inlineStr">
        <is>
          <t>・「月」と書いてある欄は 1か月分の金額です。固定資産税だけは年額を入れてください（月額は自動で計算します）。</t>
        </is>
      </c>
    </row>
    <row r="17">
      <c r="B17" s="3" t="inlineStr">
        <is>
          <t>・数字は半角で入れます。全角の１２３は使えません。</t>
        </is>
      </c>
    </row>
    <row r="18">
      <c r="B18" s="3" t="inlineStr">
        <is>
          <t>・持っていない項目は 0 のままにします。行ごと消す必要はありません。</t>
        </is>
      </c>
    </row>
    <row r="19">
      <c r="B19" s="3" t="inlineStr">
        <is>
          <t>・行が足りなくなったら、一番下の行をコピーして貼り付けて増やしてください。</t>
        </is>
      </c>
    </row>
    <row r="21">
      <c r="B21" s="2" t="inlineStr">
        <is>
          <t>気をつけていただきたいこと</t>
        </is>
      </c>
    </row>
    <row r="22">
      <c r="B22" s="3" t="inlineStr">
        <is>
          <t>このファイルには氏名と資産の全額が入ります。メールやクラウドに置いたままにせず、Mac の中で保管してください。</t>
        </is>
      </c>
    </row>
    <row r="23">
      <c r="B23" s="3" t="inlineStr">
        <is>
          <t>GitHub には上げません（data/ フォルダは白紙のひな形と説明書以外が除外してあります）。</t>
        </is>
      </c>
    </row>
    <row r="25">
      <c r="B25" s="3" t="inlineStr">
        <is>
          <t>「検算」タブに合計と、つじつまの合わない箇所の警告が出ます。送る前に一度ご覧ください。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0" customWidth="1" min="3" max="3"/>
  </cols>
  <sheetData>
    <row r="1">
      <c r="A1" s="7" t="inlineStr">
        <is>
          <t>基本情報</t>
        </is>
      </c>
    </row>
    <row r="3">
      <c r="A3" s="8" t="inlineStr">
        <is>
          <t>項目</t>
        </is>
      </c>
      <c r="B3" s="8" t="inlineStr">
        <is>
          <t>入力</t>
        </is>
      </c>
      <c r="C3" s="8" t="inlineStr">
        <is>
          <t>説明</t>
        </is>
      </c>
    </row>
    <row r="4">
      <c r="A4" s="9" t="inlineStr">
        <is>
          <t>氏名</t>
        </is>
      </c>
      <c r="B4" s="10" t="inlineStr">
        <is>
          <t>山田 太郎</t>
        </is>
      </c>
      <c r="C4" s="11" t="inlineStr">
        <is>
          <t>画面の左上に出ます</t>
        </is>
      </c>
    </row>
    <row r="5">
      <c r="A5" s="9" t="inlineStr">
        <is>
          <t>基準日</t>
        </is>
      </c>
      <c r="B5" s="12" t="inlineStr">
        <is>
          <t>2026-09-01</t>
        </is>
      </c>
      <c r="C5" s="11" t="inlineStr">
        <is>
          <t>いつ時点の数字か。2026-09-01 の形で入れます</t>
        </is>
      </c>
    </row>
    <row r="7">
      <c r="A7" s="13" t="inlineStr">
        <is>
          <t>為替レート</t>
        </is>
      </c>
    </row>
    <row r="8">
      <c r="A8" s="14" t="inlineStr">
        <is>
          <t>外貨を持っている場合だけ入れます。「その日のレート」を手で固定します（自動では取りません）。</t>
        </is>
      </c>
    </row>
    <row r="9">
      <c r="A9" s="8" t="inlineStr">
        <is>
          <t>通貨</t>
        </is>
      </c>
      <c r="B9" s="8" t="inlineStr">
        <is>
          <t>1単位あたりの円</t>
        </is>
      </c>
      <c r="C9" s="8" t="inlineStr">
        <is>
          <t>説明</t>
        </is>
      </c>
    </row>
    <row r="10">
      <c r="A10" s="15" t="inlineStr">
        <is>
          <t>JPY</t>
        </is>
      </c>
      <c r="B10" s="16" t="n">
        <v>1</v>
      </c>
      <c r="C10" s="11" t="inlineStr">
        <is>
          <t>日本円。1 のまま変えないでください</t>
        </is>
      </c>
    </row>
    <row r="11">
      <c r="A11" s="17" t="inlineStr">
        <is>
          <t>USD</t>
        </is>
      </c>
      <c r="B11" s="18" t="n">
        <v>155.2</v>
      </c>
      <c r="C11" s="11" t="inlineStr">
        <is>
          <t>米ドル。1ドルが何円か</t>
        </is>
      </c>
    </row>
    <row r="12">
      <c r="A12" s="17" t="inlineStr"/>
      <c r="B12" s="18" t="n"/>
      <c r="C12" s="11" t="inlineStr">
        <is>
          <t>他の通貨があれば（例: EUR）</t>
        </is>
      </c>
    </row>
    <row r="13">
      <c r="A13" s="17" t="inlineStr"/>
      <c r="B13" s="18" t="n"/>
      <c r="C13" s="11" t="inlineStr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2" customWidth="1" min="4" max="4"/>
    <col width="8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1" customWidth="1" min="11" max="11"/>
    <col width="12" customWidth="1" min="12" max="12"/>
    <col width="20" customWidth="1" min="13" max="13"/>
    <col width="14" customWidth="1" min="14" max="14"/>
    <col width="10" customWidth="1" min="15" max="15"/>
    <col width="11" customWidth="1" min="16" max="16"/>
    <col width="11" customWidth="1" min="17" max="17"/>
    <col width="13" customWidth="1" min="18" max="18"/>
    <col width="13" customWidth="1" min="19" max="19"/>
    <col width="12" customWidth="1" min="20" max="20"/>
    <col width="13" customWidth="1" min="21" max="21"/>
    <col width="15" customWidth="1" min="22" max="22"/>
    <col width="14" customWidth="1" min="23" max="23"/>
    <col width="13" customWidth="1" min="24" max="24"/>
    <col width="14" customWidth="1" min="25" max="25"/>
    <col width="13" customWidth="1" min="26" max="26"/>
    <col width="15" customWidth="1" min="27" max="27"/>
    <col width="14" customWidth="1" min="28" max="28"/>
  </cols>
  <sheetData>
    <row r="1">
      <c r="A1" s="7" t="inlineStr">
        <is>
          <t>不動産　（1行に1つの物件）</t>
        </is>
      </c>
    </row>
    <row r="2">
      <c r="A2" s="14" t="inlineStr">
        <is>
          <t>灰色の「総投資額」「累計返済額」「固定資産税(月)」「月次収支」は自動で計算されます。</t>
        </is>
      </c>
    </row>
    <row r="4" ht="34" customHeight="1">
      <c r="A4" s="19" t="inlineStr">
        <is>
          <t>物件名</t>
        </is>
      </c>
      <c r="B4" s="19" t="inlineStr">
        <is>
          <t>住所</t>
        </is>
      </c>
      <c r="C4" s="19" t="inlineStr">
        <is>
          <t>広さ(㎡)</t>
        </is>
      </c>
      <c r="D4" s="19" t="inlineStr">
        <is>
          <t>階数</t>
        </is>
      </c>
      <c r="E4" s="19" t="inlineStr">
        <is>
          <t>築年数</t>
        </is>
      </c>
      <c r="F4" s="19" t="inlineStr">
        <is>
          <t>自己資金</t>
        </is>
      </c>
      <c r="G4" s="19" t="inlineStr">
        <is>
          <t>当初借入額</t>
        </is>
      </c>
      <c r="H4" s="19" t="inlineStr">
        <is>
          <t>残債</t>
        </is>
      </c>
      <c r="I4" s="19" t="inlineStr">
        <is>
          <t>時価</t>
        </is>
      </c>
      <c r="J4" s="19" t="inlineStr">
        <is>
          <t>月間総収入
(任意)</t>
        </is>
      </c>
      <c r="K4" s="19" t="inlineStr">
        <is>
          <t>実質利回り
(任意)</t>
        </is>
      </c>
      <c r="L4" s="19" t="inlineStr">
        <is>
          <t>評価日
(任意)</t>
        </is>
      </c>
      <c r="M4" s="19" t="inlineStr">
        <is>
          <t>評価の根拠
(任意)</t>
        </is>
      </c>
      <c r="N4" s="19" t="inlineStr">
        <is>
          <t>借入先</t>
        </is>
      </c>
      <c r="O4" s="19" t="inlineStr">
        <is>
          <t>金利(年%)</t>
        </is>
      </c>
      <c r="P4" s="19" t="inlineStr">
        <is>
          <t>借入期間(当初)
年</t>
        </is>
      </c>
      <c r="Q4" s="19" t="inlineStr">
        <is>
          <t>借入期間(当初)
か月</t>
        </is>
      </c>
      <c r="R4" s="19" t="inlineStr">
        <is>
          <t>毎月の返済額</t>
        </is>
      </c>
      <c r="S4" s="19" t="inlineStr">
        <is>
          <t>家賃収入(月)</t>
        </is>
      </c>
      <c r="T4" s="19" t="inlineStr">
        <is>
          <t>管理費(月)</t>
        </is>
      </c>
      <c r="U4" s="19" t="inlineStr">
        <is>
          <t>修繕積立金(月)</t>
        </is>
      </c>
      <c r="V4" s="19" t="inlineStr">
        <is>
          <t>固定資産税(年額)</t>
        </is>
      </c>
      <c r="W4" s="19" t="inlineStr">
        <is>
          <t>総投資額</t>
        </is>
      </c>
      <c r="X4" s="19" t="inlineStr">
        <is>
          <t>累計返済額</t>
        </is>
      </c>
      <c r="Y4" s="19" t="inlineStr">
        <is>
          <t>固定資産税(月)</t>
        </is>
      </c>
      <c r="Z4" s="19" t="inlineStr">
        <is>
          <t>月次収支</t>
        </is>
      </c>
      <c r="AA4" s="19" t="inlineStr">
        <is>
          <t>借入期間 合計(か月)</t>
        </is>
      </c>
      <c r="AB4" s="19" t="inlineStr">
        <is>
          <t>含み損益</t>
        </is>
      </c>
    </row>
    <row r="5">
      <c r="A5" s="6" t="inlineStr">
        <is>
          <t>（例）物件A</t>
        </is>
      </c>
      <c r="B5" s="6" t="inlineStr">
        <is>
          <t>東京都港区白金台</t>
        </is>
      </c>
      <c r="C5" s="20" t="n">
        <v>45.5</v>
      </c>
      <c r="D5" s="6" t="inlineStr">
        <is>
          <t>3 / 10 階</t>
        </is>
      </c>
      <c r="E5" s="6" t="n">
        <v>15</v>
      </c>
      <c r="F5" s="21" t="n">
        <v>10000000</v>
      </c>
      <c r="G5" s="21" t="n">
        <v>40000000</v>
      </c>
      <c r="H5" s="21" t="n">
        <v>35500000</v>
      </c>
      <c r="I5" s="21">
        <f>IF(OR(J5="",K5=""),"",ROUND((J5-T5-U5)*12/(K5/100),0))</f>
        <v/>
      </c>
      <c r="J5" s="21" t="n">
        <v>200000</v>
      </c>
      <c r="K5" s="22" t="n">
        <v>4</v>
      </c>
      <c r="L5" s="6" t="inlineStr">
        <is>
          <t>2026-08-01</t>
        </is>
      </c>
      <c r="M5" s="6" t="inlineStr">
        <is>
          <t>収益還元法</t>
        </is>
      </c>
      <c r="N5" s="6" t="inlineStr">
        <is>
          <t>A銀行</t>
        </is>
      </c>
      <c r="O5" s="22" t="n">
        <v>1.8</v>
      </c>
      <c r="P5" s="6" t="n">
        <v>26</v>
      </c>
      <c r="Q5" s="6" t="n">
        <v>11</v>
      </c>
      <c r="R5" s="21" t="n">
        <v>128000</v>
      </c>
      <c r="S5" s="21" t="n">
        <v>180000</v>
      </c>
      <c r="T5" s="21" t="n">
        <v>12000</v>
      </c>
      <c r="U5" s="21" t="n">
        <v>8000</v>
      </c>
      <c r="V5" s="21" t="n">
        <v>108000</v>
      </c>
      <c r="W5" s="21">
        <f>F5+G5</f>
        <v/>
      </c>
      <c r="X5" s="21">
        <f>G5-H5</f>
        <v/>
      </c>
      <c r="Y5" s="21">
        <f>ROUND(V5/12,0)</f>
        <v/>
      </c>
      <c r="Z5" s="21">
        <f>S5-R5-T5-U5-Y5</f>
        <v/>
      </c>
      <c r="AA5" s="6">
        <f>P5*12+Q5</f>
        <v/>
      </c>
      <c r="AB5" s="21">
        <f>IF(I5="","",I5-W5)</f>
        <v/>
      </c>
    </row>
    <row r="6">
      <c r="A6" s="17" t="n"/>
      <c r="B6" s="17" t="n"/>
      <c r="C6" s="18" t="n"/>
      <c r="D6" s="17" t="n"/>
      <c r="E6" s="17" t="n"/>
      <c r="F6" s="23" t="n"/>
      <c r="G6" s="23" t="n"/>
      <c r="H6" s="23" t="n"/>
      <c r="I6" s="23">
        <f>IF(OR(J6="",K6=""),"",ROUND((J6-T6-U6)*12/(K6/100),0))</f>
        <v/>
      </c>
      <c r="J6" s="23" t="n"/>
      <c r="K6" s="24" t="n"/>
      <c r="L6" s="17" t="n"/>
      <c r="M6" s="17" t="n"/>
      <c r="N6" s="17" t="n"/>
      <c r="O6" s="24" t="n"/>
      <c r="P6" s="17" t="n"/>
      <c r="Q6" s="17" t="n"/>
      <c r="R6" s="23" t="n"/>
      <c r="S6" s="23" t="n"/>
      <c r="T6" s="23" t="n"/>
      <c r="U6" s="23" t="n"/>
      <c r="V6" s="23" t="n"/>
      <c r="W6" s="25">
        <f>F6+G6</f>
        <v/>
      </c>
      <c r="X6" s="25">
        <f>G6-H6</f>
        <v/>
      </c>
      <c r="Y6" s="25">
        <f>ROUND(V6/12,0)</f>
        <v/>
      </c>
      <c r="Z6" s="25">
        <f>S6-R6-T6-U6-Y6</f>
        <v/>
      </c>
      <c r="AA6" s="15">
        <f>P6*12+Q6</f>
        <v/>
      </c>
      <c r="AB6" s="25">
        <f>IF(I6="","",I6-W6)</f>
        <v/>
      </c>
    </row>
    <row r="7">
      <c r="A7" s="17" t="n"/>
      <c r="B7" s="17" t="n"/>
      <c r="C7" s="18" t="n"/>
      <c r="D7" s="17" t="n"/>
      <c r="E7" s="17" t="n"/>
      <c r="F7" s="23" t="n"/>
      <c r="G7" s="23" t="n"/>
      <c r="H7" s="23" t="n"/>
      <c r="I7" s="23">
        <f>IF(OR(J7="",K7=""),"",ROUND((J7-T7-U7)*12/(K7/100),0))</f>
        <v/>
      </c>
      <c r="J7" s="23" t="n"/>
      <c r="K7" s="24" t="n"/>
      <c r="L7" s="17" t="n"/>
      <c r="M7" s="17" t="n"/>
      <c r="N7" s="17" t="n"/>
      <c r="O7" s="24" t="n"/>
      <c r="P7" s="17" t="n"/>
      <c r="Q7" s="17" t="n"/>
      <c r="R7" s="23" t="n"/>
      <c r="S7" s="23" t="n"/>
      <c r="T7" s="23" t="n"/>
      <c r="U7" s="23" t="n"/>
      <c r="V7" s="23" t="n"/>
      <c r="W7" s="25">
        <f>F7+G7</f>
        <v/>
      </c>
      <c r="X7" s="25">
        <f>G7-H7</f>
        <v/>
      </c>
      <c r="Y7" s="25">
        <f>ROUND(V7/12,0)</f>
        <v/>
      </c>
      <c r="Z7" s="25">
        <f>S7-R7-T7-U7-Y7</f>
        <v/>
      </c>
      <c r="AA7" s="15">
        <f>P7*12+Q7</f>
        <v/>
      </c>
      <c r="AB7" s="25">
        <f>IF(I7="","",I7-W7)</f>
        <v/>
      </c>
    </row>
    <row r="8">
      <c r="A8" s="17" t="n"/>
      <c r="B8" s="17" t="n"/>
      <c r="C8" s="18" t="n"/>
      <c r="D8" s="17" t="n"/>
      <c r="E8" s="17" t="n"/>
      <c r="F8" s="23" t="n"/>
      <c r="G8" s="23" t="n"/>
      <c r="H8" s="23" t="n"/>
      <c r="I8" s="23">
        <f>IF(OR(J8="",K8=""),"",ROUND((J8-T8-U8)*12/(K8/100),0))</f>
        <v/>
      </c>
      <c r="J8" s="23" t="n"/>
      <c r="K8" s="24" t="n"/>
      <c r="L8" s="17" t="n"/>
      <c r="M8" s="17" t="n"/>
      <c r="N8" s="17" t="n"/>
      <c r="O8" s="24" t="n"/>
      <c r="P8" s="17" t="n"/>
      <c r="Q8" s="17" t="n"/>
      <c r="R8" s="23" t="n"/>
      <c r="S8" s="23" t="n"/>
      <c r="T8" s="23" t="n"/>
      <c r="U8" s="23" t="n"/>
      <c r="V8" s="23" t="n"/>
      <c r="W8" s="25">
        <f>F8+G8</f>
        <v/>
      </c>
      <c r="X8" s="25">
        <f>G8-H8</f>
        <v/>
      </c>
      <c r="Y8" s="25">
        <f>ROUND(V8/12,0)</f>
        <v/>
      </c>
      <c r="Z8" s="25">
        <f>S8-R8-T8-U8-Y8</f>
        <v/>
      </c>
      <c r="AA8" s="15">
        <f>P8*12+Q8</f>
        <v/>
      </c>
      <c r="AB8" s="25">
        <f>IF(I8="","",I8-W8)</f>
        <v/>
      </c>
    </row>
    <row r="9">
      <c r="A9" s="17" t="n"/>
      <c r="B9" s="17" t="n"/>
      <c r="C9" s="18" t="n"/>
      <c r="D9" s="17" t="n"/>
      <c r="E9" s="17" t="n"/>
      <c r="F9" s="23" t="n"/>
      <c r="G9" s="23" t="n"/>
      <c r="H9" s="23" t="n"/>
      <c r="I9" s="23">
        <f>IF(OR(J9="",K9=""),"",ROUND((J9-T9-U9)*12/(K9/100),0))</f>
        <v/>
      </c>
      <c r="J9" s="23" t="n"/>
      <c r="K9" s="24" t="n"/>
      <c r="L9" s="17" t="n"/>
      <c r="M9" s="17" t="n"/>
      <c r="N9" s="17" t="n"/>
      <c r="O9" s="24" t="n"/>
      <c r="P9" s="17" t="n"/>
      <c r="Q9" s="17" t="n"/>
      <c r="R9" s="23" t="n"/>
      <c r="S9" s="23" t="n"/>
      <c r="T9" s="23" t="n"/>
      <c r="U9" s="23" t="n"/>
      <c r="V9" s="23" t="n"/>
      <c r="W9" s="25">
        <f>F9+G9</f>
        <v/>
      </c>
      <c r="X9" s="25">
        <f>G9-H9</f>
        <v/>
      </c>
      <c r="Y9" s="25">
        <f>ROUND(V9/12,0)</f>
        <v/>
      </c>
      <c r="Z9" s="25">
        <f>S9-R9-T9-U9-Y9</f>
        <v/>
      </c>
      <c r="AA9" s="15">
        <f>P9*12+Q9</f>
        <v/>
      </c>
      <c r="AB9" s="25">
        <f>IF(I9="","",I9-W9)</f>
        <v/>
      </c>
    </row>
    <row r="10">
      <c r="A10" s="17" t="n"/>
      <c r="B10" s="17" t="n"/>
      <c r="C10" s="18" t="n"/>
      <c r="D10" s="17" t="n"/>
      <c r="E10" s="17" t="n"/>
      <c r="F10" s="23" t="n"/>
      <c r="G10" s="23" t="n"/>
      <c r="H10" s="23" t="n"/>
      <c r="I10" s="23">
        <f>IF(OR(J10="",K10=""),"",ROUND((J10-T10-U10)*12/(K10/100),0))</f>
        <v/>
      </c>
      <c r="J10" s="23" t="n"/>
      <c r="K10" s="24" t="n"/>
      <c r="L10" s="17" t="n"/>
      <c r="M10" s="17" t="n"/>
      <c r="N10" s="17" t="n"/>
      <c r="O10" s="24" t="n"/>
      <c r="P10" s="17" t="n"/>
      <c r="Q10" s="17" t="n"/>
      <c r="R10" s="23" t="n"/>
      <c r="S10" s="23" t="n"/>
      <c r="T10" s="23" t="n"/>
      <c r="U10" s="23" t="n"/>
      <c r="V10" s="23" t="n"/>
      <c r="W10" s="25">
        <f>F10+G10</f>
        <v/>
      </c>
      <c r="X10" s="25">
        <f>G10-H10</f>
        <v/>
      </c>
      <c r="Y10" s="25">
        <f>ROUND(V10/12,0)</f>
        <v/>
      </c>
      <c r="Z10" s="25">
        <f>S10-R10-T10-U10-Y10</f>
        <v/>
      </c>
      <c r="AA10" s="15">
        <f>P10*12+Q10</f>
        <v/>
      </c>
      <c r="AB10" s="25">
        <f>IF(I10="","",I10-W10)</f>
        <v/>
      </c>
    </row>
    <row r="11">
      <c r="A11" s="17" t="n"/>
      <c r="B11" s="17" t="n"/>
      <c r="C11" s="18" t="n"/>
      <c r="D11" s="17" t="n"/>
      <c r="E11" s="17" t="n"/>
      <c r="F11" s="23" t="n"/>
      <c r="G11" s="23" t="n"/>
      <c r="H11" s="23" t="n"/>
      <c r="I11" s="23">
        <f>IF(OR(J11="",K11=""),"",ROUND((J11-T11-U11)*12/(K11/100),0))</f>
        <v/>
      </c>
      <c r="J11" s="23" t="n"/>
      <c r="K11" s="24" t="n"/>
      <c r="L11" s="17" t="n"/>
      <c r="M11" s="17" t="n"/>
      <c r="N11" s="17" t="n"/>
      <c r="O11" s="24" t="n"/>
      <c r="P11" s="17" t="n"/>
      <c r="Q11" s="17" t="n"/>
      <c r="R11" s="23" t="n"/>
      <c r="S11" s="23" t="n"/>
      <c r="T11" s="23" t="n"/>
      <c r="U11" s="23" t="n"/>
      <c r="V11" s="23" t="n"/>
      <c r="W11" s="25">
        <f>F11+G11</f>
        <v/>
      </c>
      <c r="X11" s="25">
        <f>G11-H11</f>
        <v/>
      </c>
      <c r="Y11" s="25">
        <f>ROUND(V11/12,0)</f>
        <v/>
      </c>
      <c r="Z11" s="25">
        <f>S11-R11-T11-U11-Y11</f>
        <v/>
      </c>
      <c r="AA11" s="15">
        <f>P11*12+Q11</f>
        <v/>
      </c>
      <c r="AB11" s="25">
        <f>IF(I11="","",I11-W11)</f>
        <v/>
      </c>
    </row>
    <row r="12">
      <c r="A12" s="17" t="n"/>
      <c r="B12" s="17" t="n"/>
      <c r="C12" s="18" t="n"/>
      <c r="D12" s="17" t="n"/>
      <c r="E12" s="17" t="n"/>
      <c r="F12" s="23" t="n"/>
      <c r="G12" s="23" t="n"/>
      <c r="H12" s="23" t="n"/>
      <c r="I12" s="23">
        <f>IF(OR(J12="",K12=""),"",ROUND((J12-T12-U12)*12/(K12/100),0))</f>
        <v/>
      </c>
      <c r="J12" s="23" t="n"/>
      <c r="K12" s="24" t="n"/>
      <c r="L12" s="17" t="n"/>
      <c r="M12" s="17" t="n"/>
      <c r="N12" s="17" t="n"/>
      <c r="O12" s="24" t="n"/>
      <c r="P12" s="17" t="n"/>
      <c r="Q12" s="17" t="n"/>
      <c r="R12" s="23" t="n"/>
      <c r="S12" s="23" t="n"/>
      <c r="T12" s="23" t="n"/>
      <c r="U12" s="23" t="n"/>
      <c r="V12" s="23" t="n"/>
      <c r="W12" s="25">
        <f>F12+G12</f>
        <v/>
      </c>
      <c r="X12" s="25">
        <f>G12-H12</f>
        <v/>
      </c>
      <c r="Y12" s="25">
        <f>ROUND(V12/12,0)</f>
        <v/>
      </c>
      <c r="Z12" s="25">
        <f>S12-R12-T12-U12-Y12</f>
        <v/>
      </c>
      <c r="AA12" s="15">
        <f>P12*12+Q12</f>
        <v/>
      </c>
      <c r="AB12" s="25">
        <f>IF(I12="","",I12-W12)</f>
        <v/>
      </c>
    </row>
    <row r="13">
      <c r="A13" s="17" t="n"/>
      <c r="B13" s="17" t="n"/>
      <c r="C13" s="18" t="n"/>
      <c r="D13" s="17" t="n"/>
      <c r="E13" s="17" t="n"/>
      <c r="F13" s="23" t="n"/>
      <c r="G13" s="23" t="n"/>
      <c r="H13" s="23" t="n"/>
      <c r="I13" s="23">
        <f>IF(OR(J13="",K13=""),"",ROUND((J13-T13-U13)*12/(K13/100),0))</f>
        <v/>
      </c>
      <c r="J13" s="23" t="n"/>
      <c r="K13" s="24" t="n"/>
      <c r="L13" s="17" t="n"/>
      <c r="M13" s="17" t="n"/>
      <c r="N13" s="17" t="n"/>
      <c r="O13" s="24" t="n"/>
      <c r="P13" s="17" t="n"/>
      <c r="Q13" s="17" t="n"/>
      <c r="R13" s="23" t="n"/>
      <c r="S13" s="23" t="n"/>
      <c r="T13" s="23" t="n"/>
      <c r="U13" s="23" t="n"/>
      <c r="V13" s="23" t="n"/>
      <c r="W13" s="25">
        <f>F13+G13</f>
        <v/>
      </c>
      <c r="X13" s="25">
        <f>G13-H13</f>
        <v/>
      </c>
      <c r="Y13" s="25">
        <f>ROUND(V13/12,0)</f>
        <v/>
      </c>
      <c r="Z13" s="25">
        <f>S13-R13-T13-U13-Y13</f>
        <v/>
      </c>
      <c r="AA13" s="15">
        <f>P13*12+Q13</f>
        <v/>
      </c>
      <c r="AB13" s="25">
        <f>IF(I13="","",I13-W13)</f>
        <v/>
      </c>
    </row>
    <row r="14">
      <c r="A14" s="17" t="n"/>
      <c r="B14" s="17" t="n"/>
      <c r="C14" s="18" t="n"/>
      <c r="D14" s="17" t="n"/>
      <c r="E14" s="17" t="n"/>
      <c r="F14" s="23" t="n"/>
      <c r="G14" s="23" t="n"/>
      <c r="H14" s="23" t="n"/>
      <c r="I14" s="23">
        <f>IF(OR(J14="",K14=""),"",ROUND((J14-T14-U14)*12/(K14/100),0))</f>
        <v/>
      </c>
      <c r="J14" s="23" t="n"/>
      <c r="K14" s="24" t="n"/>
      <c r="L14" s="17" t="n"/>
      <c r="M14" s="17" t="n"/>
      <c r="N14" s="17" t="n"/>
      <c r="O14" s="24" t="n"/>
      <c r="P14" s="17" t="n"/>
      <c r="Q14" s="17" t="n"/>
      <c r="R14" s="23" t="n"/>
      <c r="S14" s="23" t="n"/>
      <c r="T14" s="23" t="n"/>
      <c r="U14" s="23" t="n"/>
      <c r="V14" s="23" t="n"/>
      <c r="W14" s="25">
        <f>F14+G14</f>
        <v/>
      </c>
      <c r="X14" s="25">
        <f>G14-H14</f>
        <v/>
      </c>
      <c r="Y14" s="25">
        <f>ROUND(V14/12,0)</f>
        <v/>
      </c>
      <c r="Z14" s="25">
        <f>S14-R14-T14-U14-Y14</f>
        <v/>
      </c>
      <c r="AA14" s="15">
        <f>P14*12+Q14</f>
        <v/>
      </c>
      <c r="AB14" s="25">
        <f>IF(I14="","",I14-W14)</f>
        <v/>
      </c>
    </row>
    <row r="16">
      <c r="A16" s="14" t="inlineStr">
        <is>
          <t>※ 行が足りないときは、最終行（14行目）をコピーして下に貼り付けてください。数式も一緒に増えます。</t>
        </is>
      </c>
    </row>
  </sheetData>
  <dataValidations count="1">
    <dataValidation sqref="M5:M14" showDropDown="0" showInputMessage="1" showErrorMessage="0" allowBlank="1" promptTitle="入力のヒント" prompt="一覧から選べます。ここに無い書き方を直接入れても構いません。" type="list">
      <formula1>"不動産会社の査定書,収益還元法,取引事例比較法,路線価から換算,固定資産税評価額から換算,自己推定"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9" customWidth="1" min="3" max="3"/>
    <col width="15" customWidth="1" min="4" max="4"/>
    <col width="15" customWidth="1" min="5" max="5"/>
    <col width="22" customWidth="1" min="6" max="6"/>
    <col width="15" customWidth="1" min="7" max="7"/>
    <col width="17" customWidth="1" min="8" max="8"/>
    <col width="17" customWidth="1" min="9" max="9"/>
  </cols>
  <sheetData>
    <row r="1">
      <c r="A1" s="7" t="inlineStr">
        <is>
          <t>有価証券　（国内・海外 × 4種類 ＝ 8行で固定）</t>
        </is>
      </c>
    </row>
    <row r="2">
      <c r="A2" s="14" t="inlineStr">
        <is>
          <t>持っていない種類は 0 のままにします（行は消しません。入れ忘れに気づけるようにするためです）。</t>
        </is>
      </c>
    </row>
    <row r="3">
      <c r="A3" s="14" t="inlineStr">
        <is>
          <t>「その他」は暗号資産・金・銀などをまとめる欄です。金額はその通貨のままで入れます（円換算は自動）。</t>
        </is>
      </c>
    </row>
    <row r="5" ht="34" customHeight="1">
      <c r="A5" s="19" t="inlineStr">
        <is>
          <t>地域</t>
        </is>
      </c>
      <c r="B5" s="19" t="inlineStr">
        <is>
          <t>種類</t>
        </is>
      </c>
      <c r="C5" s="19" t="inlineStr">
        <is>
          <t>通貨</t>
        </is>
      </c>
      <c r="D5" s="19" t="inlineStr">
        <is>
          <t>取得原価</t>
        </is>
      </c>
      <c r="E5" s="19" t="inlineStr">
        <is>
          <t>評価額</t>
        </is>
      </c>
      <c r="F5" s="19" t="inlineStr">
        <is>
          <t>補足（任意）</t>
        </is>
      </c>
      <c r="G5" s="19" t="inlineStr">
        <is>
          <t>含み損益</t>
        </is>
      </c>
      <c r="H5" s="19" t="inlineStr">
        <is>
          <t>円換算した評価額</t>
        </is>
      </c>
      <c r="I5" s="19" t="inlineStr">
        <is>
          <t>円換算した取得原価</t>
        </is>
      </c>
    </row>
    <row r="6">
      <c r="A6" s="15" t="inlineStr">
        <is>
          <t>国内</t>
        </is>
      </c>
      <c r="B6" s="15" t="inlineStr">
        <is>
          <t>株</t>
        </is>
      </c>
      <c r="C6" s="17" t="inlineStr">
        <is>
          <t>JPY</t>
        </is>
      </c>
      <c r="D6" s="23" t="n">
        <v>2000000</v>
      </c>
      <c r="E6" s="23" t="n">
        <v>5000000</v>
      </c>
      <c r="F6" s="17" t="inlineStr"/>
      <c r="G6" s="25">
        <f>E6-D6</f>
        <v/>
      </c>
      <c r="H6" s="25">
        <f>ROUND(E6*IFERROR(INDEX('基本情報'!$B$10:$B$13,MATCH(C6,'基本情報'!$A$10:$A$13,0)),0),0)</f>
        <v/>
      </c>
      <c r="I6" s="25">
        <f>ROUND(D6*IFERROR(INDEX('基本情報'!$B$10:$B$13,MATCH(C6,'基本情報'!$A$10:$A$13,0)),0),0)</f>
        <v/>
      </c>
    </row>
    <row r="7">
      <c r="A7" s="15" t="inlineStr">
        <is>
          <t>国内</t>
        </is>
      </c>
      <c r="B7" s="15" t="inlineStr">
        <is>
          <t>債券</t>
        </is>
      </c>
      <c r="C7" s="17" t="inlineStr">
        <is>
          <t>JPY</t>
        </is>
      </c>
      <c r="D7" s="23" t="n">
        <v>2700000</v>
      </c>
      <c r="E7" s="23" t="n">
        <v>2500000</v>
      </c>
      <c r="F7" s="17" t="inlineStr"/>
      <c r="G7" s="25">
        <f>E7-D7</f>
        <v/>
      </c>
      <c r="H7" s="25">
        <f>ROUND(E7*IFERROR(INDEX('基本情報'!$B$10:$B$13,MATCH(C7,'基本情報'!$A$10:$A$13,0)),0),0)</f>
        <v/>
      </c>
      <c r="I7" s="25">
        <f>ROUND(D7*IFERROR(INDEX('基本情報'!$B$10:$B$13,MATCH(C7,'基本情報'!$A$10:$A$13,0)),0),0)</f>
        <v/>
      </c>
    </row>
    <row r="8">
      <c r="A8" s="15" t="inlineStr">
        <is>
          <t>国内</t>
        </is>
      </c>
      <c r="B8" s="15" t="inlineStr">
        <is>
          <t>投資信託</t>
        </is>
      </c>
      <c r="C8" s="17" t="inlineStr">
        <is>
          <t>JPY</t>
        </is>
      </c>
      <c r="D8" s="23" t="n">
        <v>1300000</v>
      </c>
      <c r="E8" s="23" t="n">
        <v>1500000</v>
      </c>
      <c r="F8" s="17" t="inlineStr"/>
      <c r="G8" s="25">
        <f>E8-D8</f>
        <v/>
      </c>
      <c r="H8" s="25">
        <f>ROUND(E8*IFERROR(INDEX('基本情報'!$B$10:$B$13,MATCH(C8,'基本情報'!$A$10:$A$13,0)),0),0)</f>
        <v/>
      </c>
      <c r="I8" s="25">
        <f>ROUND(D8*IFERROR(INDEX('基本情報'!$B$10:$B$13,MATCH(C8,'基本情報'!$A$10:$A$13,0)),0),0)</f>
        <v/>
      </c>
    </row>
    <row r="9">
      <c r="A9" s="15" t="inlineStr">
        <is>
          <t>国内</t>
        </is>
      </c>
      <c r="B9" s="15" t="inlineStr">
        <is>
          <t>その他</t>
        </is>
      </c>
      <c r="C9" s="17" t="inlineStr">
        <is>
          <t>JPY</t>
        </is>
      </c>
      <c r="D9" s="23" t="n">
        <v>800000</v>
      </c>
      <c r="E9" s="23" t="n">
        <v>1200000</v>
      </c>
      <c r="F9" s="17" t="inlineStr">
        <is>
          <t>金地金</t>
        </is>
      </c>
      <c r="G9" s="25">
        <f>E9-D9</f>
        <v/>
      </c>
      <c r="H9" s="25">
        <f>ROUND(E9*IFERROR(INDEX('基本情報'!$B$10:$B$13,MATCH(C9,'基本情報'!$A$10:$A$13,0)),0),0)</f>
        <v/>
      </c>
      <c r="I9" s="25">
        <f>ROUND(D9*IFERROR(INDEX('基本情報'!$B$10:$B$13,MATCH(C9,'基本情報'!$A$10:$A$13,0)),0),0)</f>
        <v/>
      </c>
    </row>
    <row r="10">
      <c r="A10" s="15" t="inlineStr">
        <is>
          <t>海外</t>
        </is>
      </c>
      <c r="B10" s="15" t="inlineStr">
        <is>
          <t>株</t>
        </is>
      </c>
      <c r="C10" s="17" t="inlineStr">
        <is>
          <t>USD</t>
        </is>
      </c>
      <c r="D10" s="23" t="n">
        <v>20000</v>
      </c>
      <c r="E10" s="23" t="n">
        <v>32000</v>
      </c>
      <c r="F10" s="17" t="inlineStr"/>
      <c r="G10" s="25">
        <f>E10-D10</f>
        <v/>
      </c>
      <c r="H10" s="25">
        <f>ROUND(E10*IFERROR(INDEX('基本情報'!$B$10:$B$13,MATCH(C10,'基本情報'!$A$10:$A$13,0)),0),0)</f>
        <v/>
      </c>
      <c r="I10" s="25">
        <f>ROUND(D10*IFERROR(INDEX('基本情報'!$B$10:$B$13,MATCH(C10,'基本情報'!$A$10:$A$13,0)),0),0)</f>
        <v/>
      </c>
    </row>
    <row r="11">
      <c r="A11" s="15" t="inlineStr">
        <is>
          <t>海外</t>
        </is>
      </c>
      <c r="B11" s="15" t="inlineStr">
        <is>
          <t>債券</t>
        </is>
      </c>
      <c r="C11" s="17" t="inlineStr">
        <is>
          <t>USD</t>
        </is>
      </c>
      <c r="D11" s="23" t="n">
        <v>18000</v>
      </c>
      <c r="E11" s="23" t="n">
        <v>16000</v>
      </c>
      <c r="F11" s="17" t="inlineStr"/>
      <c r="G11" s="25">
        <f>E11-D11</f>
        <v/>
      </c>
      <c r="H11" s="25">
        <f>ROUND(E11*IFERROR(INDEX('基本情報'!$B$10:$B$13,MATCH(C11,'基本情報'!$A$10:$A$13,0)),0),0)</f>
        <v/>
      </c>
      <c r="I11" s="25">
        <f>ROUND(D11*IFERROR(INDEX('基本情報'!$B$10:$B$13,MATCH(C11,'基本情報'!$A$10:$A$13,0)),0),0)</f>
        <v/>
      </c>
    </row>
    <row r="12">
      <c r="A12" s="15" t="inlineStr">
        <is>
          <t>海外</t>
        </is>
      </c>
      <c r="B12" s="15" t="inlineStr">
        <is>
          <t>投資信託</t>
        </is>
      </c>
      <c r="C12" s="17" t="inlineStr">
        <is>
          <t>USD</t>
        </is>
      </c>
      <c r="D12" s="23" t="n">
        <v>8000</v>
      </c>
      <c r="E12" s="23" t="n">
        <v>9500</v>
      </c>
      <c r="F12" s="17" t="inlineStr"/>
      <c r="G12" s="25">
        <f>E12-D12</f>
        <v/>
      </c>
      <c r="H12" s="25">
        <f>ROUND(E12*IFERROR(INDEX('基本情報'!$B$10:$B$13,MATCH(C12,'基本情報'!$A$10:$A$13,0)),0),0)</f>
        <v/>
      </c>
      <c r="I12" s="25">
        <f>ROUND(D12*IFERROR(INDEX('基本情報'!$B$10:$B$13,MATCH(C12,'基本情報'!$A$10:$A$13,0)),0),0)</f>
        <v/>
      </c>
    </row>
    <row r="13">
      <c r="A13" s="15" t="inlineStr">
        <is>
          <t>海外</t>
        </is>
      </c>
      <c r="B13" s="15" t="inlineStr">
        <is>
          <t>その他</t>
        </is>
      </c>
      <c r="C13" s="17" t="inlineStr">
        <is>
          <t>USD</t>
        </is>
      </c>
      <c r="D13" s="23" t="n">
        <v>5000</v>
      </c>
      <c r="E13" s="23" t="n">
        <v>11000</v>
      </c>
      <c r="F13" s="17" t="inlineStr">
        <is>
          <t>暗号資産</t>
        </is>
      </c>
      <c r="G13" s="25">
        <f>E13-D13</f>
        <v/>
      </c>
      <c r="H13" s="25">
        <f>ROUND(E13*IFERROR(INDEX('基本情報'!$B$10:$B$13,MATCH(C13,'基本情報'!$A$10:$A$13,0)),0),0)</f>
        <v/>
      </c>
      <c r="I13" s="25">
        <f>ROUND(D13*IFERROR(INDEX('基本情報'!$B$10:$B$13,MATCH(C13,'基本情報'!$A$10:$A$13,0)),0),0)</f>
        <v/>
      </c>
    </row>
    <row r="14">
      <c r="A14" s="13" t="inlineStr">
        <is>
          <t>合計</t>
        </is>
      </c>
      <c r="D14" s="26">
        <f>SUM(D6:D13)</f>
        <v/>
      </c>
      <c r="E14" s="26">
        <f>SUM(E6:E13)</f>
        <v/>
      </c>
      <c r="F14" s="14" t="inlineStr">
        <is>
          <t>※ 通貨が違うので、この行の取得原価と評価額の合計は目安です）</t>
        </is>
      </c>
      <c r="G14" s="26">
        <f>SUM(G6:G13)</f>
        <v/>
      </c>
      <c r="H14" s="26">
        <f>SUM(H6:H13)</f>
        <v/>
      </c>
      <c r="I14" s="26">
        <f>SUM(I6:I13)</f>
        <v/>
      </c>
    </row>
  </sheetData>
  <dataValidations count="3">
    <dataValidation sqref="C6:C13" showDropDown="0" showInputMessage="1" showErrorMessage="1" allowBlank="1" errorTitle="レートのある通貨から選んでください" error="「基本情報」タブの為替レート表にある通貨だけ使えます。" promptTitle="通貨" prompt="「基本情報」タブのレート表から選びます。他の通貨を使うときは、先にレートを足してください。" type="list">
      <formula1>=基本情報!$A$10:$A$13</formula1>
    </dataValidation>
    <dataValidation sqref="A6:A13" showDropDown="0" showInputMessage="0" showErrorMessage="1" allowBlank="1" errorTitle="一覧から選んでください" error="この欄は 国内 / 海外 のどれかです。" type="list">
      <formula1>"国内,海外"</formula1>
    </dataValidation>
    <dataValidation sqref="B6:B13" showDropDown="0" showInputMessage="0" showErrorMessage="1" allowBlank="1" errorTitle="一覧から選んでください" error="この欄は 株 / 債券 / 投資信託 / その他 のどれかです。" type="list">
      <formula1>"株,債券,投資信託,その他"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9" customWidth="1" min="3" max="3"/>
    <col width="16" customWidth="1" min="4" max="4"/>
    <col width="16" customWidth="1" min="5" max="5"/>
    <col width="17" customWidth="1" min="6" max="6"/>
    <col width="13" customWidth="1" min="7" max="7"/>
    <col width="22" customWidth="1" min="8" max="8"/>
    <col width="15" customWidth="1" min="9" max="9"/>
    <col width="18" customWidth="1" min="10" max="10"/>
    <col width="18" customWidth="1" min="11" max="11"/>
  </cols>
  <sheetData>
    <row r="1">
      <c r="A1" s="7" t="inlineStr">
        <is>
          <t>保険　（1行に1つの契約）</t>
        </is>
      </c>
    </row>
    <row r="2">
      <c r="A2" s="14" t="inlineStr">
        <is>
          <t>貯蓄性のある保険（終身・養老・個人年金など）を書きます。掛け捨ての医療保険などは書きません。</t>
        </is>
      </c>
    </row>
    <row r="3">
      <c r="A3" s="14" t="inlineStr">
        <is>
          <t>評価額には「解約返戻金」（今解約したら戻る額）を入れます。毎年届く「ご契約内容のお知らせ」か保険会社のマイページで分かります。</t>
        </is>
      </c>
    </row>
    <row r="4">
      <c r="A4" s="14" t="inlineStr">
        <is>
          <t>※ 死亡保険金額は参考です。今使えるお金ではないので、資産の合計には足しません。</t>
        </is>
      </c>
    </row>
    <row r="6" ht="34" customHeight="1">
      <c r="A6" s="19" t="inlineStr">
        <is>
          <t>保険名</t>
        </is>
      </c>
      <c r="B6" s="19" t="inlineStr">
        <is>
          <t>保険会社</t>
        </is>
      </c>
      <c r="C6" s="19" t="inlineStr">
        <is>
          <t>通貨</t>
        </is>
      </c>
      <c r="D6" s="19" t="inlineStr">
        <is>
          <t>払込保険料 累計</t>
        </is>
      </c>
      <c r="E6" s="19" t="inlineStr">
        <is>
          <t>解約返戻金</t>
        </is>
      </c>
      <c r="F6" s="19" t="inlineStr">
        <is>
          <t>死亡保険金額
(参考・資産に含めず)</t>
        </is>
      </c>
      <c r="G6" s="19" t="inlineStr">
        <is>
          <t>評価日</t>
        </is>
      </c>
      <c r="H6" s="19" t="inlineStr">
        <is>
          <t>補足（任意）</t>
        </is>
      </c>
      <c r="I6" s="19" t="inlineStr">
        <is>
          <t>含み損益</t>
        </is>
      </c>
      <c r="J6" s="19" t="inlineStr">
        <is>
          <t>円換算した解約返戻金</t>
        </is>
      </c>
      <c r="K6" s="19" t="inlineStr">
        <is>
          <t>円換算した払込保険料</t>
        </is>
      </c>
    </row>
    <row r="7">
      <c r="A7" s="6" t="inlineStr">
        <is>
          <t>（例）変額終身保険</t>
        </is>
      </c>
      <c r="B7" s="6" t="inlineStr">
        <is>
          <t>○○生命</t>
        </is>
      </c>
      <c r="C7" s="6" t="inlineStr">
        <is>
          <t>JPY</t>
        </is>
      </c>
      <c r="D7" s="21" t="n">
        <v>3000000</v>
      </c>
      <c r="E7" s="21" t="n">
        <v>2600000</v>
      </c>
      <c r="F7" s="21" t="n">
        <v>10000000</v>
      </c>
      <c r="G7" s="6" t="inlineStr">
        <is>
          <t>2026-03-31</t>
        </is>
      </c>
      <c r="H7" s="6" t="inlineStr">
        <is>
          <t>解約返戻金は年1回の通知の数字</t>
        </is>
      </c>
      <c r="I7" s="21">
        <f>IF(A7="","",E7-D7)</f>
        <v/>
      </c>
      <c r="J7" s="21">
        <f>IF(A7="","",ROUND(E7*IFERROR(INDEX('基本情報'!$B$10:$B$13,MATCH(C7,'基本情報'!$A$10:$A$13,0)),0),0))</f>
        <v/>
      </c>
      <c r="K7" s="21">
        <f>IF(A7="","",ROUND(D7*IFERROR(INDEX('基本情報'!$B$10:$B$13,MATCH(C7,'基本情報'!$A$10:$A$13,0)),0),0))</f>
        <v/>
      </c>
    </row>
    <row r="8">
      <c r="A8" s="17" t="n"/>
      <c r="B8" s="17" t="n"/>
      <c r="C8" s="17" t="n"/>
      <c r="D8" s="23" t="n"/>
      <c r="E8" s="23" t="n"/>
      <c r="F8" s="23" t="n"/>
      <c r="G8" s="17" t="n"/>
      <c r="H8" s="17" t="n"/>
      <c r="I8" s="25">
        <f>IF(A8="","",E8-D8)</f>
        <v/>
      </c>
      <c r="J8" s="25">
        <f>IF(A8="","",ROUND(E8*IFERROR(INDEX('基本情報'!$B$10:$B$13,MATCH(C8,'基本情報'!$A$10:$A$13,0)),0),0))</f>
        <v/>
      </c>
      <c r="K8" s="25">
        <f>IF(A8="","",ROUND(D8*IFERROR(INDEX('基本情報'!$B$10:$B$13,MATCH(C8,'基本情報'!$A$10:$A$13,0)),0),0))</f>
        <v/>
      </c>
    </row>
    <row r="9">
      <c r="A9" s="17" t="n"/>
      <c r="B9" s="17" t="n"/>
      <c r="C9" s="17" t="n"/>
      <c r="D9" s="23" t="n"/>
      <c r="E9" s="23" t="n"/>
      <c r="F9" s="23" t="n"/>
      <c r="G9" s="17" t="n"/>
      <c r="H9" s="17" t="n"/>
      <c r="I9" s="25">
        <f>IF(A9="","",E9-D9)</f>
        <v/>
      </c>
      <c r="J9" s="25">
        <f>IF(A9="","",ROUND(E9*IFERROR(INDEX('基本情報'!$B$10:$B$13,MATCH(C9,'基本情報'!$A$10:$A$13,0)),0),0))</f>
        <v/>
      </c>
      <c r="K9" s="25">
        <f>IF(A9="","",ROUND(D9*IFERROR(INDEX('基本情報'!$B$10:$B$13,MATCH(C9,'基本情報'!$A$10:$A$13,0)),0),0))</f>
        <v/>
      </c>
    </row>
    <row r="10">
      <c r="A10" s="17" t="n"/>
      <c r="B10" s="17" t="n"/>
      <c r="C10" s="17" t="n"/>
      <c r="D10" s="23" t="n"/>
      <c r="E10" s="23" t="n"/>
      <c r="F10" s="23" t="n"/>
      <c r="G10" s="17" t="n"/>
      <c r="H10" s="17" t="n"/>
      <c r="I10" s="25">
        <f>IF(A10="","",E10-D10)</f>
        <v/>
      </c>
      <c r="J10" s="25">
        <f>IF(A10="","",ROUND(E10*IFERROR(INDEX('基本情報'!$B$10:$B$13,MATCH(C10,'基本情報'!$A$10:$A$13,0)),0),0))</f>
        <v/>
      </c>
      <c r="K10" s="25">
        <f>IF(A10="","",ROUND(D10*IFERROR(INDEX('基本情報'!$B$10:$B$13,MATCH(C10,'基本情報'!$A$10:$A$13,0)),0),0))</f>
        <v/>
      </c>
    </row>
    <row r="11">
      <c r="A11" s="17" t="n"/>
      <c r="B11" s="17" t="n"/>
      <c r="C11" s="17" t="n"/>
      <c r="D11" s="23" t="n"/>
      <c r="E11" s="23" t="n"/>
      <c r="F11" s="23" t="n"/>
      <c r="G11" s="17" t="n"/>
      <c r="H11" s="17" t="n"/>
      <c r="I11" s="25">
        <f>IF(A11="","",E11-D11)</f>
        <v/>
      </c>
      <c r="J11" s="25">
        <f>IF(A11="","",ROUND(E11*IFERROR(INDEX('基本情報'!$B$10:$B$13,MATCH(C11,'基本情報'!$A$10:$A$13,0)),0),0))</f>
        <v/>
      </c>
      <c r="K11" s="25">
        <f>IF(A11="","",ROUND(D11*IFERROR(INDEX('基本情報'!$B$10:$B$13,MATCH(C11,'基本情報'!$A$10:$A$13,0)),0),0))</f>
        <v/>
      </c>
    </row>
    <row r="12">
      <c r="A12" s="17" t="n"/>
      <c r="B12" s="17" t="n"/>
      <c r="C12" s="17" t="n"/>
      <c r="D12" s="23" t="n"/>
      <c r="E12" s="23" t="n"/>
      <c r="F12" s="23" t="n"/>
      <c r="G12" s="17" t="n"/>
      <c r="H12" s="17" t="n"/>
      <c r="I12" s="25">
        <f>IF(A12="","",E12-D12)</f>
        <v/>
      </c>
      <c r="J12" s="25">
        <f>IF(A12="","",ROUND(E12*IFERROR(INDEX('基本情報'!$B$10:$B$13,MATCH(C12,'基本情報'!$A$10:$A$13,0)),0),0))</f>
        <v/>
      </c>
      <c r="K12" s="25">
        <f>IF(A12="","",ROUND(D12*IFERROR(INDEX('基本情報'!$B$10:$B$13,MATCH(C12,'基本情報'!$A$10:$A$13,0)),0),0))</f>
        <v/>
      </c>
    </row>
    <row r="13">
      <c r="A13" s="17" t="n"/>
      <c r="B13" s="17" t="n"/>
      <c r="C13" s="17" t="n"/>
      <c r="D13" s="23" t="n"/>
      <c r="E13" s="23" t="n"/>
      <c r="F13" s="23" t="n"/>
      <c r="G13" s="17" t="n"/>
      <c r="H13" s="17" t="n"/>
      <c r="I13" s="25">
        <f>IF(A13="","",E13-D13)</f>
        <v/>
      </c>
      <c r="J13" s="25">
        <f>IF(A13="","",ROUND(E13*IFERROR(INDEX('基本情報'!$B$10:$B$13,MATCH(C13,'基本情報'!$A$10:$A$13,0)),0),0))</f>
        <v/>
      </c>
      <c r="K13" s="25">
        <f>IF(A13="","",ROUND(D13*IFERROR(INDEX('基本情報'!$B$10:$B$13,MATCH(C13,'基本情報'!$A$10:$A$13,0)),0),0))</f>
        <v/>
      </c>
    </row>
    <row r="14">
      <c r="A14" s="17" t="n"/>
      <c r="B14" s="17" t="n"/>
      <c r="C14" s="17" t="n"/>
      <c r="D14" s="23" t="n"/>
      <c r="E14" s="23" t="n"/>
      <c r="F14" s="23" t="n"/>
      <c r="G14" s="17" t="n"/>
      <c r="H14" s="17" t="n"/>
      <c r="I14" s="25">
        <f>IF(A14="","",E14-D14)</f>
        <v/>
      </c>
      <c r="J14" s="25">
        <f>IF(A14="","",ROUND(E14*IFERROR(INDEX('基本情報'!$B$10:$B$13,MATCH(C14,'基本情報'!$A$10:$A$13,0)),0),0))</f>
        <v/>
      </c>
      <c r="K14" s="25">
        <f>IF(A14="","",ROUND(D14*IFERROR(INDEX('基本情報'!$B$10:$B$13,MATCH(C14,'基本情報'!$A$10:$A$13,0)),0),0))</f>
        <v/>
      </c>
    </row>
    <row r="15">
      <c r="A15" s="13" t="inlineStr">
        <is>
          <t>合計（見本行は数えません）</t>
        </is>
      </c>
      <c r="J15" s="26">
        <f>SUM(J8:J14)</f>
        <v/>
      </c>
      <c r="K15" s="26">
        <f>SUM(K8:K14)</f>
        <v/>
      </c>
    </row>
    <row r="17">
      <c r="A17" s="14" t="inlineStr">
        <is>
          <t>※ 解約返戻金がまだ分からないときは、払込保険料累計と同じ額を入れ、「補足」に「解約返戻金 未確認（暫定）」と書いてください。含み損益は ±0 になります。</t>
        </is>
      </c>
    </row>
  </sheetData>
  <dataValidations count="1">
    <dataValidation sqref="C7:C14" showDropDown="0" showInputMessage="1" showErrorMessage="1" allowBlank="1" errorTitle="レートのある通貨から選んでください" error="「基本情報」タブの為替レート表にある通貨だけ使えます。" promptTitle="通貨" prompt="「基本情報」タブのレート表から選びます。他の通貨を使うときは、先にレートを足してください。" type="list">
      <formula1>=基本情報!$A$10:$A$13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7" customWidth="1" min="4" max="4"/>
  </cols>
  <sheetData>
    <row r="1">
      <c r="A1" s="7" t="inlineStr">
        <is>
          <t>預貯金　（1行に1つの口座）</t>
        </is>
      </c>
    </row>
    <row r="2">
      <c r="A2" s="14" t="inlineStr">
        <is>
          <t>同じ銀行に複数口座があるときは、まとめて1行にしても、分けて書いても構いません。</t>
        </is>
      </c>
    </row>
    <row r="4" ht="34" customHeight="1">
      <c r="A4" s="19" t="inlineStr">
        <is>
          <t>金融機関</t>
        </is>
      </c>
      <c r="B4" s="19" t="inlineStr">
        <is>
          <t>通貨</t>
        </is>
      </c>
      <c r="C4" s="19" t="inlineStr">
        <is>
          <t>残高</t>
        </is>
      </c>
      <c r="D4" s="19" t="inlineStr">
        <is>
          <t>円換算した残高</t>
        </is>
      </c>
    </row>
    <row r="5">
      <c r="A5" s="6" t="inlineStr">
        <is>
          <t>（例）A銀行</t>
        </is>
      </c>
      <c r="B5" s="6" t="inlineStr">
        <is>
          <t>JPY</t>
        </is>
      </c>
      <c r="C5" s="21" t="n">
        <v>2000000</v>
      </c>
      <c r="D5" s="21">
        <f>IF(A5="","",ROUND(C5*IFERROR(INDEX('基本情報'!$B$10:$B$13,MATCH(B5,'基本情報'!$A$10:$A$13,0)),0),0))</f>
        <v/>
      </c>
    </row>
    <row r="6">
      <c r="A6" s="17" t="n"/>
      <c r="B6" s="17" t="n"/>
      <c r="C6" s="23" t="n"/>
      <c r="D6" s="25">
        <f>IF(A6="","",ROUND(C6*IFERROR(INDEX('基本情報'!$B$10:$B$13,MATCH(B6,'基本情報'!$A$10:$A$13,0)),0),0))</f>
        <v/>
      </c>
    </row>
    <row r="7">
      <c r="A7" s="17" t="n"/>
      <c r="B7" s="17" t="n"/>
      <c r="C7" s="23" t="n"/>
      <c r="D7" s="25">
        <f>IF(A7="","",ROUND(C7*IFERROR(INDEX('基本情報'!$B$10:$B$13,MATCH(B7,'基本情報'!$A$10:$A$13,0)),0),0))</f>
        <v/>
      </c>
    </row>
    <row r="8">
      <c r="A8" s="17" t="n"/>
      <c r="B8" s="17" t="n"/>
      <c r="C8" s="23" t="n"/>
      <c r="D8" s="25">
        <f>IF(A8="","",ROUND(C8*IFERROR(INDEX('基本情報'!$B$10:$B$13,MATCH(B8,'基本情報'!$A$10:$A$13,0)),0),0))</f>
        <v/>
      </c>
    </row>
    <row r="9">
      <c r="A9" s="17" t="n"/>
      <c r="B9" s="17" t="n"/>
      <c r="C9" s="23" t="n"/>
      <c r="D9" s="25">
        <f>IF(A9="","",ROUND(C9*IFERROR(INDEX('基本情報'!$B$10:$B$13,MATCH(B9,'基本情報'!$A$10:$A$13,0)),0),0))</f>
        <v/>
      </c>
    </row>
    <row r="10">
      <c r="A10" s="17" t="n"/>
      <c r="B10" s="17" t="n"/>
      <c r="C10" s="23" t="n"/>
      <c r="D10" s="25">
        <f>IF(A10="","",ROUND(C10*IFERROR(INDEX('基本情報'!$B$10:$B$13,MATCH(B10,'基本情報'!$A$10:$A$13,0)),0),0))</f>
        <v/>
      </c>
    </row>
    <row r="11">
      <c r="A11" s="17" t="n"/>
      <c r="B11" s="17" t="n"/>
      <c r="C11" s="23" t="n"/>
      <c r="D11" s="25">
        <f>IF(A11="","",ROUND(C11*IFERROR(INDEX('基本情報'!$B$10:$B$13,MATCH(B11,'基本情報'!$A$10:$A$13,0)),0),0))</f>
        <v/>
      </c>
    </row>
    <row r="12">
      <c r="A12" s="17" t="n"/>
      <c r="B12" s="17" t="n"/>
      <c r="C12" s="23" t="n"/>
      <c r="D12" s="25">
        <f>IF(A12="","",ROUND(C12*IFERROR(INDEX('基本情報'!$B$10:$B$13,MATCH(B12,'基本情報'!$A$10:$A$13,0)),0),0))</f>
        <v/>
      </c>
    </row>
    <row r="13">
      <c r="A13" s="17" t="n"/>
      <c r="B13" s="17" t="n"/>
      <c r="C13" s="23" t="n"/>
      <c r="D13" s="25">
        <f>IF(A13="","",ROUND(C13*IFERROR(INDEX('基本情報'!$B$10:$B$13,MATCH(B13,'基本情報'!$A$10:$A$13,0)),0),0))</f>
        <v/>
      </c>
    </row>
    <row r="14">
      <c r="A14" s="17" t="n"/>
      <c r="B14" s="17" t="n"/>
      <c r="C14" s="23" t="n"/>
      <c r="D14" s="25">
        <f>IF(A14="","",ROUND(C14*IFERROR(INDEX('基本情報'!$B$10:$B$13,MATCH(B14,'基本情報'!$A$10:$A$13,0)),0),0))</f>
        <v/>
      </c>
    </row>
    <row r="15">
      <c r="A15" s="17" t="n"/>
      <c r="B15" s="17" t="n"/>
      <c r="C15" s="23" t="n"/>
      <c r="D15" s="25">
        <f>IF(A15="","",ROUND(C15*IFERROR(INDEX('基本情報'!$B$10:$B$13,MATCH(B15,'基本情報'!$A$10:$A$13,0)),0),0))</f>
        <v/>
      </c>
    </row>
    <row r="16">
      <c r="A16" s="17" t="n"/>
      <c r="B16" s="17" t="n"/>
      <c r="C16" s="23" t="n"/>
      <c r="D16" s="25">
        <f>IF(A16="","",ROUND(C16*IFERROR(INDEX('基本情報'!$B$10:$B$13,MATCH(B16,'基本情報'!$A$10:$A$13,0)),0),0))</f>
        <v/>
      </c>
    </row>
    <row r="17">
      <c r="A17" s="17" t="n"/>
      <c r="B17" s="17" t="n"/>
      <c r="C17" s="23" t="n"/>
      <c r="D17" s="25">
        <f>IF(A17="","",ROUND(C17*IFERROR(INDEX('基本情報'!$B$10:$B$13,MATCH(B17,'基本情報'!$A$10:$A$13,0)),0),0))</f>
        <v/>
      </c>
    </row>
    <row r="18">
      <c r="A18" s="17" t="n"/>
      <c r="B18" s="17" t="n"/>
      <c r="C18" s="23" t="n"/>
      <c r="D18" s="25">
        <f>IF(A18="","",ROUND(C18*IFERROR(INDEX('基本情報'!$B$10:$B$13,MATCH(B18,'基本情報'!$A$10:$A$13,0)),0),0))</f>
        <v/>
      </c>
    </row>
    <row r="19">
      <c r="A19" s="17" t="n"/>
      <c r="B19" s="17" t="n"/>
      <c r="C19" s="23" t="n"/>
      <c r="D19" s="25">
        <f>IF(A19="","",ROUND(C19*IFERROR(INDEX('基本情報'!$B$10:$B$13,MATCH(B19,'基本情報'!$A$10:$A$13,0)),0),0))</f>
        <v/>
      </c>
    </row>
    <row r="20">
      <c r="A20" s="13" t="inlineStr">
        <is>
          <t>合計（見本行は数えません）</t>
        </is>
      </c>
      <c r="D20" s="26">
        <f>SUM(D6:D19)</f>
        <v/>
      </c>
    </row>
  </sheetData>
  <dataValidations count="1">
    <dataValidation sqref="B5:B19" showDropDown="0" showInputMessage="1" showErrorMessage="1" allowBlank="1" errorTitle="レートのある通貨から選んでください" error="「基本情報」タブの為替レート表にある通貨だけ使えます。" promptTitle="通貨" prompt="「基本情報」タブのレート表から選びます。他の通貨を使うときは、先にレートを足してください。" type="list">
      <formula1>=基本情報!$A$10:$A$13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15" customWidth="1" min="4" max="4"/>
    <col width="15" customWidth="1" min="5" max="5"/>
    <col width="11" customWidth="1" min="6" max="6"/>
    <col width="15" customWidth="1" min="7" max="7"/>
    <col width="14" customWidth="1" min="8" max="8"/>
  </cols>
  <sheetData>
    <row r="1">
      <c r="A1" s="7" t="inlineStr">
        <is>
          <t>不動産以外の借入　（1行に1つのローン）</t>
        </is>
      </c>
    </row>
    <row r="2">
      <c r="A2" s="14" t="inlineStr">
        <is>
          <t>車のローン、教育ローン、多目的ローンなど。不動産のローンは「不動産」タブに書くので、ここには書きません。</t>
        </is>
      </c>
    </row>
    <row r="3">
      <c r="A3" s="14" t="inlineStr">
        <is>
          <t>借入がなければ、すべて空のままで構いません。</t>
        </is>
      </c>
    </row>
    <row r="5" ht="34" customHeight="1">
      <c r="A5" s="19" t="inlineStr">
        <is>
          <t>借入の名前</t>
        </is>
      </c>
      <c r="B5" s="19" t="inlineStr">
        <is>
          <t>種類</t>
        </is>
      </c>
      <c r="C5" s="19" t="inlineStr">
        <is>
          <t>借入先</t>
        </is>
      </c>
      <c r="D5" s="19" t="inlineStr">
        <is>
          <t>当初借入額</t>
        </is>
      </c>
      <c r="E5" s="19" t="inlineStr">
        <is>
          <t>残債</t>
        </is>
      </c>
      <c r="F5" s="19" t="inlineStr">
        <is>
          <t>金利(年%)</t>
        </is>
      </c>
      <c r="G5" s="19" t="inlineStr">
        <is>
          <t>毎月の返済額</t>
        </is>
      </c>
      <c r="H5" s="19" t="inlineStr">
        <is>
          <t>返済済み</t>
        </is>
      </c>
    </row>
    <row r="6">
      <c r="A6" s="6" t="inlineStr">
        <is>
          <t>（例）自動車ローン</t>
        </is>
      </c>
      <c r="B6" s="6" t="inlineStr">
        <is>
          <t>車</t>
        </is>
      </c>
      <c r="C6" s="6" t="inlineStr">
        <is>
          <t>D銀行</t>
        </is>
      </c>
      <c r="D6" s="21" t="n">
        <v>3000000</v>
      </c>
      <c r="E6" s="21" t="n">
        <v>1800000</v>
      </c>
      <c r="F6" s="22" t="n">
        <v>2.5</v>
      </c>
      <c r="G6" s="21" t="n">
        <v>45000</v>
      </c>
      <c r="H6" s="21">
        <f>IF(A6="","",D6-E6)</f>
        <v/>
      </c>
    </row>
    <row r="7">
      <c r="A7" s="17" t="n"/>
      <c r="B7" s="17" t="n"/>
      <c r="C7" s="17" t="n"/>
      <c r="D7" s="23" t="n"/>
      <c r="E7" s="23" t="n"/>
      <c r="F7" s="24" t="n"/>
      <c r="G7" s="23" t="n"/>
      <c r="H7" s="25">
        <f>IF(A7="","",D7-E7)</f>
        <v/>
      </c>
    </row>
    <row r="8">
      <c r="A8" s="17" t="n"/>
      <c r="B8" s="17" t="n"/>
      <c r="C8" s="17" t="n"/>
      <c r="D8" s="23" t="n"/>
      <c r="E8" s="23" t="n"/>
      <c r="F8" s="24" t="n"/>
      <c r="G8" s="23" t="n"/>
      <c r="H8" s="25">
        <f>IF(A8="","",D8-E8)</f>
        <v/>
      </c>
    </row>
    <row r="9">
      <c r="A9" s="17" t="n"/>
      <c r="B9" s="17" t="n"/>
      <c r="C9" s="17" t="n"/>
      <c r="D9" s="23" t="n"/>
      <c r="E9" s="23" t="n"/>
      <c r="F9" s="24" t="n"/>
      <c r="G9" s="23" t="n"/>
      <c r="H9" s="25">
        <f>IF(A9="","",D9-E9)</f>
        <v/>
      </c>
    </row>
    <row r="10">
      <c r="A10" s="17" t="n"/>
      <c r="B10" s="17" t="n"/>
      <c r="C10" s="17" t="n"/>
      <c r="D10" s="23" t="n"/>
      <c r="E10" s="23" t="n"/>
      <c r="F10" s="24" t="n"/>
      <c r="G10" s="23" t="n"/>
      <c r="H10" s="25">
        <f>IF(A10="","",D10-E10)</f>
        <v/>
      </c>
    </row>
    <row r="11">
      <c r="A11" s="17" t="n"/>
      <c r="B11" s="17" t="n"/>
      <c r="C11" s="17" t="n"/>
      <c r="D11" s="23" t="n"/>
      <c r="E11" s="23" t="n"/>
      <c r="F11" s="24" t="n"/>
      <c r="G11" s="23" t="n"/>
      <c r="H11" s="25">
        <f>IF(A11="","",D11-E11)</f>
        <v/>
      </c>
    </row>
    <row r="12">
      <c r="A12" s="17" t="n"/>
      <c r="B12" s="17" t="n"/>
      <c r="C12" s="17" t="n"/>
      <c r="D12" s="23" t="n"/>
      <c r="E12" s="23" t="n"/>
      <c r="F12" s="24" t="n"/>
      <c r="G12" s="23" t="n"/>
      <c r="H12" s="25">
        <f>IF(A12="","",D12-E12)</f>
        <v/>
      </c>
    </row>
    <row r="13">
      <c r="A13" s="17" t="n"/>
      <c r="B13" s="17" t="n"/>
      <c r="C13" s="17" t="n"/>
      <c r="D13" s="23" t="n"/>
      <c r="E13" s="23" t="n"/>
      <c r="F13" s="24" t="n"/>
      <c r="G13" s="23" t="n"/>
      <c r="H13" s="25">
        <f>IF(A13="","",D13-E13)</f>
        <v/>
      </c>
    </row>
    <row r="14">
      <c r="A14" s="17" t="n"/>
      <c r="B14" s="17" t="n"/>
      <c r="C14" s="17" t="n"/>
      <c r="D14" s="23" t="n"/>
      <c r="E14" s="23" t="n"/>
      <c r="F14" s="24" t="n"/>
      <c r="G14" s="23" t="n"/>
      <c r="H14" s="25">
        <f>IF(A14="","",D14-E14)</f>
        <v/>
      </c>
    </row>
    <row r="15">
      <c r="A15" s="17" t="n"/>
      <c r="B15" s="17" t="n"/>
      <c r="C15" s="17" t="n"/>
      <c r="D15" s="23" t="n"/>
      <c r="E15" s="23" t="n"/>
      <c r="F15" s="24" t="n"/>
      <c r="G15" s="23" t="n"/>
      <c r="H15" s="25">
        <f>IF(A15="","",D15-E15)</f>
        <v/>
      </c>
    </row>
  </sheetData>
  <dataValidations count="1">
    <dataValidation sqref="B6:B15" showDropDown="0" showInputMessage="1" showErrorMessage="1" allowBlank="1" errorTitle="一覧から選んでください" error="この欄は 車 / 多目的 / リフォーム / 教育 / 事業 / その他 のどれかです。" promptTitle="入力のヒント" prompt="提出用ページの円グラフでは「車」だけ自動車ローンに分かれ、それ以外は「多目的・その他ローン」にまとまります。" type="list">
      <formula1>"車,多目的,リフォーム,教育,事業,その他"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58" customWidth="1" min="3" max="3"/>
  </cols>
  <sheetData>
    <row r="1">
      <c r="A1" s="7" t="inlineStr">
        <is>
          <t>検算　（自動計算。送る前にここを見てください）</t>
        </is>
      </c>
    </row>
    <row r="2">
      <c r="A2" s="14" t="inlineStr">
        <is>
          <t>この表はすべて自動です。画面に出る数字と同じものを先に確かめられます。</t>
        </is>
      </c>
    </row>
    <row r="4">
      <c r="A4" s="13" t="inlineStr">
        <is>
          <t>金融資産</t>
        </is>
      </c>
    </row>
    <row r="5">
      <c r="A5" s="9" t="inlineStr">
        <is>
          <t>有価証券（評価額・円）</t>
        </is>
      </c>
      <c r="B5" s="25">
        <f>'有価証券'!H14</f>
        <v/>
      </c>
      <c r="C5" s="14" t="inlineStr">
        <is>
          <t>円換算した評価額の合計</t>
        </is>
      </c>
    </row>
    <row r="6">
      <c r="A6" s="9" t="inlineStr">
        <is>
          <t xml:space="preserve">　うち含み損益</t>
        </is>
      </c>
      <c r="B6" s="25">
        <f>'有価証券'!H14-'有価証券'!I14</f>
        <v/>
      </c>
      <c r="C6" s="14" t="inlineStr">
        <is>
          <t>円換算した評価額 − 円換算した取得原価</t>
        </is>
      </c>
    </row>
    <row r="7">
      <c r="A7" s="9" t="inlineStr">
        <is>
          <t>保険（解約返戻金・円）</t>
        </is>
      </c>
      <c r="B7" s="25">
        <f>'保険'!J15</f>
        <v/>
      </c>
      <c r="C7" s="14" t="inlineStr">
        <is>
          <t>死亡保険金額は含めません</t>
        </is>
      </c>
    </row>
    <row r="8">
      <c r="A8" s="9" t="inlineStr">
        <is>
          <t xml:space="preserve">　うち含み損益</t>
        </is>
      </c>
      <c r="B8" s="25">
        <f>'保険'!J15-'保険'!K15</f>
        <v/>
      </c>
      <c r="C8" s="14" t="inlineStr">
        <is>
          <t>解約返戻金 − 払込保険料（保障の対価を含む）</t>
        </is>
      </c>
    </row>
    <row r="9">
      <c r="A9" s="9" t="inlineStr">
        <is>
          <t>預貯金</t>
        </is>
      </c>
      <c r="B9" s="25">
        <f>'預貯金'!D20</f>
        <v/>
      </c>
      <c r="C9" s="14" t="inlineStr">
        <is>
          <t>円換算した残高の合計</t>
        </is>
      </c>
    </row>
    <row r="10">
      <c r="A10" s="27" t="inlineStr">
        <is>
          <t>金融資産合計</t>
        </is>
      </c>
      <c r="B10" s="28">
        <f>'有価証券'!H14+'保険'!J15+'預貯金'!D20</f>
        <v/>
      </c>
      <c r="C10" s="14" t="inlineStr">
        <is>
          <t>有価証券 ＋ 保険 ＋ 預貯金（不動産は含めません）</t>
        </is>
      </c>
    </row>
    <row r="11">
      <c r="A11" s="9" t="inlineStr">
        <is>
          <t xml:space="preserve">　うち含み損益</t>
        </is>
      </c>
      <c r="B11" s="25">
        <f>'有価証券'!H14+'保険'!J15-'有価証券'!I14-'保険'!K15</f>
        <v/>
      </c>
      <c r="C11" s="14" t="inlineStr">
        <is>
          <t>画面のサマリーに出る数字</t>
        </is>
      </c>
    </row>
    <row r="13">
      <c r="A13" s="13" t="inlineStr">
        <is>
          <t>不動産</t>
        </is>
      </c>
    </row>
    <row r="14">
      <c r="A14" s="9" t="inlineStr">
        <is>
          <t>総投資額</t>
        </is>
      </c>
      <c r="B14" s="25">
        <f>SUM('不動産'!$W$6:$W$14)</f>
        <v/>
      </c>
      <c r="C14" s="14" t="inlineStr">
        <is>
          <t>自己資金 ＋ 当初借入額</t>
        </is>
      </c>
    </row>
    <row r="15">
      <c r="A15" s="9" t="inlineStr">
        <is>
          <t>自己資金累計</t>
        </is>
      </c>
      <c r="B15" s="25">
        <f>SUM('不動産'!$F$6:$F$14)</f>
        <v/>
      </c>
      <c r="C15" s="14" t="inlineStr"/>
    </row>
    <row r="16">
      <c r="A16" s="9" t="inlineStr">
        <is>
          <t>借入総額</t>
        </is>
      </c>
      <c r="B16" s="25">
        <f>SUM('不動産'!$G$6:$G$14)</f>
        <v/>
      </c>
      <c r="C16" s="14" t="inlineStr">
        <is>
          <t>当初の借入額の合計</t>
        </is>
      </c>
    </row>
    <row r="17">
      <c r="A17" s="9" t="inlineStr">
        <is>
          <t>残債合計</t>
        </is>
      </c>
      <c r="B17" s="25">
        <f>SUM('不動産'!$H$6:$H$14)</f>
        <v/>
      </c>
      <c r="C17" s="14" t="inlineStr"/>
    </row>
    <row r="18">
      <c r="A18" s="9" t="inlineStr">
        <is>
          <t>累計返済額</t>
        </is>
      </c>
      <c r="B18" s="25">
        <f>SUM('不動産'!$X$6:$X$14)</f>
        <v/>
      </c>
      <c r="C18" s="14" t="inlineStr">
        <is>
          <t>借入総額 − 残債合計</t>
        </is>
      </c>
    </row>
    <row r="19">
      <c r="A19" s="9" t="inlineStr">
        <is>
          <t>返済進捗率</t>
        </is>
      </c>
      <c r="B19" s="29">
        <f>IFERROR(SUM('不動産'!$X$6:$X$14)/SUM('不動産'!$G$6:$G$14),0)</f>
        <v/>
      </c>
      <c r="C19" s="14" t="inlineStr">
        <is>
          <t>累計返済額 ÷ 借入総額</t>
        </is>
      </c>
    </row>
    <row r="20">
      <c r="A20" s="9" t="inlineStr">
        <is>
          <t>月次収支の合計</t>
        </is>
      </c>
      <c r="B20" s="25">
        <f>SUM('不動産'!$Z$6:$Z$14)</f>
        <v/>
      </c>
      <c r="C20" s="14" t="inlineStr">
        <is>
          <t>家賃 − 返済 − 経費。マイナスなら持ち出しです</t>
        </is>
      </c>
    </row>
    <row r="21">
      <c r="A21" s="9" t="inlineStr">
        <is>
          <t>時価合計</t>
        </is>
      </c>
      <c r="B21" s="25">
        <f>IF(COUNT('不動産'!$I$6:$I$14)=0,0,SUM('不動産'!$I$6:$I$14))</f>
        <v/>
      </c>
      <c r="C21" s="14" t="inlineStr">
        <is>
          <t>手で入れた推定値。空欄の物件は数えません</t>
        </is>
      </c>
    </row>
    <row r="22">
      <c r="A22" s="9" t="inlineStr">
        <is>
          <t xml:space="preserve">　うち含み損益</t>
        </is>
      </c>
      <c r="B22" s="25">
        <f>IF(COUNT('不動産'!$I$6:$I$14)=0,0,SUM('不動産'!$AB$6:$AB$14))</f>
        <v/>
      </c>
      <c r="C22" s="14" t="inlineStr">
        <is>
          <t>時価 − 総投資額（時価を入れた物件だけ）</t>
        </is>
      </c>
    </row>
    <row r="23">
      <c r="A23" s="9" t="inlineStr">
        <is>
          <t>LTV</t>
        </is>
      </c>
      <c r="B23" s="29">
        <f>IFERROR(SUM('不動産'!$H$6:$H$14)/SUM('不動産'!$I$6:$I$14),0)</f>
        <v/>
      </c>
      <c r="C23" s="14" t="inlineStr">
        <is>
          <t>残債合計 ÷ 時価合計</t>
        </is>
      </c>
    </row>
    <row r="25">
      <c r="A25" s="13" t="inlineStr">
        <is>
          <t>負債</t>
        </is>
      </c>
    </row>
    <row r="26">
      <c r="A26" s="9" t="inlineStr">
        <is>
          <t>不動産ローン 残債</t>
        </is>
      </c>
      <c r="B26" s="25">
        <f>SUM('不動産'!$H$6:$H$14)</f>
        <v/>
      </c>
      <c r="C26" s="14" t="inlineStr"/>
    </row>
    <row r="27">
      <c r="A27" s="9" t="inlineStr">
        <is>
          <t>その他の借入 残債</t>
        </is>
      </c>
      <c r="B27" s="25">
        <f>SUM('その他の借入'!E7:E15)</f>
        <v/>
      </c>
      <c r="C27" s="14" t="inlineStr">
        <is>
          <t>車・多目的など</t>
        </is>
      </c>
    </row>
    <row r="28">
      <c r="A28" s="27" t="inlineStr">
        <is>
          <t>総負債</t>
        </is>
      </c>
      <c r="B28" s="28">
        <f>SUM('不動産'!$H$6:$H$14)+SUM('その他の借入'!E7:E15)</f>
        <v/>
      </c>
      <c r="C28" s="14" t="inlineStr">
        <is>
          <t>不動産 ＋ その他</t>
        </is>
      </c>
    </row>
    <row r="30">
      <c r="A30" s="13" t="inlineStr">
        <is>
          <t>総資産・純資産</t>
        </is>
      </c>
    </row>
    <row r="31">
      <c r="A31" s="9" t="inlineStr">
        <is>
          <t>時価を入れた物件数</t>
        </is>
      </c>
      <c r="B31" s="30">
        <f>COUNT('不動産'!$I$6:$I$14)&amp;" / "&amp;COUNTA('不動産'!$A$6:$A$14)&amp;" 物件"</f>
        <v/>
      </c>
      <c r="C31" s="11" t="inlineStr">
        <is>
          <t>ここが揃うと下の2つが出ます</t>
        </is>
      </c>
    </row>
    <row r="32">
      <c r="A32" s="9" t="inlineStr">
        <is>
          <t>総資産</t>
        </is>
      </c>
      <c r="B32" s="25">
        <f>IF(COUNT('不動産'!$I$6:$I$14)&lt;&gt;COUNTA('不動産'!$A$6:$A$14),"時価未入力あり",'有価証券'!H14+'保険'!J15+'預貯金'!D20+SUM('不動産'!$I$6:$I$14))</f>
        <v/>
      </c>
      <c r="C32" s="11" t="inlineStr">
        <is>
          <t>金融資産 ＋ 不動産（時価）</t>
        </is>
      </c>
    </row>
    <row r="33">
      <c r="A33" s="27" t="inlineStr">
        <is>
          <t>純資産</t>
        </is>
      </c>
      <c r="B33" s="28">
        <f>IF(COUNT('不動産'!$I$6:$I$14)&lt;&gt;COUNTA('不動産'!$A$6:$A$14),"時価未入力あり",'有価証券'!H14+'保険'!J15+'預貯金'!D20+SUM('不動産'!$I$6:$I$14)-(SUM('不動産'!$H$6:$H$14)+SUM('その他の借入'!E7:E15)))</f>
        <v/>
      </c>
      <c r="C33" s="11" t="inlineStr">
        <is>
          <t>総資産 − 総負債</t>
        </is>
      </c>
    </row>
    <row r="36">
      <c r="A36" s="13" t="inlineStr">
        <is>
          <t>つじつまの確認</t>
        </is>
      </c>
    </row>
    <row r="37">
      <c r="A37" s="14" t="inlineStr">
        <is>
          <t>「要確認」が出たら、その行の説明どおりに直してください。</t>
        </is>
      </c>
    </row>
    <row r="38">
      <c r="A38" s="9" t="inlineStr">
        <is>
          <t>残債が当初借入額より大きい物件</t>
        </is>
      </c>
      <c r="B38" s="30">
        <f>IF(SUMPRODUCT(('不動産'!A6:A14&lt;&gt;"")*('不動産'!H6:H14&gt;'不動産'!G6:G14))&gt;0,"要確認","OK")</f>
        <v/>
      </c>
      <c r="C38" s="14" t="inlineStr">
        <is>
          <t>残債は当初借入額以下になるはずです</t>
        </is>
      </c>
    </row>
    <row r="39">
      <c r="A39" s="9" t="inlineStr">
        <is>
          <t>残債が当初借入額より大きい借入</t>
        </is>
      </c>
      <c r="B39" s="30">
        <f>IF(SUMPRODUCT(('その他の借入'!A7:A15&lt;&gt;"")*('その他の借入'!E7:E15&gt;'その他の借入'!D7:D15))&gt;0,"要確認","OK")</f>
        <v/>
      </c>
      <c r="C39" s="14" t="inlineStr">
        <is>
          <t>同上</t>
        </is>
      </c>
    </row>
    <row r="40">
      <c r="A40" s="9" t="inlineStr">
        <is>
          <t>マイナスの金額が入っている</t>
        </is>
      </c>
      <c r="B40" s="30">
        <f>IF(SUMPRODUCT(('不動産'!F6:H14&lt;0)*1)+SUMPRODUCT(('有価証券'!D6:E13&lt;0)*1)&gt;0,"要確認","OK")</f>
        <v/>
      </c>
      <c r="C40" s="14" t="inlineStr">
        <is>
          <t>金額はすべて 0 以上で入れます</t>
        </is>
      </c>
    </row>
    <row r="41">
      <c r="A41" s="9" t="inlineStr">
        <is>
          <t>為替レートの無い通貨がある</t>
        </is>
      </c>
      <c r="B41" s="30">
        <f>IF(SUMPRODUCT(ISERROR(MATCH('有価証券'!C6:C13,'基本情報'!$A$10:$A$13,0))*1)&gt;0,"要確認","OK")</f>
        <v/>
      </c>
      <c r="C41" s="14" t="inlineStr">
        <is>
          <t>「基本情報」タブの為替レートに、使った通貨を足してください</t>
        </is>
      </c>
    </row>
    <row r="42">
      <c r="A42" s="9" t="inlineStr">
        <is>
          <t>氏名と基準日が入っている</t>
        </is>
      </c>
      <c r="B42" s="30">
        <f>IF(OR('基本情報'!B4="",'基本情報'!B5=""),"要確認","OK")</f>
        <v/>
      </c>
      <c r="C42" s="14" t="inlineStr">
        <is>
          <t>どちらも必須です</t>
        </is>
      </c>
    </row>
    <row r="43">
      <c r="A43" s="9" t="inlineStr">
        <is>
          <t>借入期間の「か月」が0〜11か</t>
        </is>
      </c>
      <c r="B43" s="30">
        <f>IF(SUMPRODUCT(('不動産'!A6:A14&lt;&gt;"")*(('不動産'!Q6:Q14&lt;0)+('不動産'!Q6:Q14&gt;11)))&gt;0,"要確認","OK")</f>
        <v/>
      </c>
      <c r="C43" s="14" t="inlineStr">
        <is>
          <t>12か月以上は「年」の側に繰り上げてください</t>
        </is>
      </c>
    </row>
    <row r="44">
      <c r="A44" s="9" t="inlineStr">
        <is>
          <t>種類が「車」なのに車の借入でない</t>
        </is>
      </c>
      <c r="B44" s="30">
        <f>IF(COUNTIFS('その他の借入'!B7:B15,"車")&lt;&gt;COUNTIFS('その他の借入'!A7:A15,"*車*",'その他の借入'!B7:B15,"車"),"要確認","OK")</f>
        <v/>
      </c>
      <c r="C44" s="14" t="inlineStr">
        <is>
          <t>名前に「車」が無いのに種類が「車」の借入があります。円グラフで自動車ローンに入ります</t>
        </is>
      </c>
    </row>
    <row r="45">
      <c r="A45" s="9" t="inlineStr">
        <is>
          <t>時価が残債を下回る物件</t>
        </is>
      </c>
      <c r="B45" s="30">
        <f>IF(SUMPRODUCT(('不動産'!A6:A14&lt;&gt;"")*('不動産'!I6:I14&gt;0)*('不動産'!I6:I14&lt;'不動産'!H6:H14))&gt;0,"要確認","OK")</f>
        <v/>
      </c>
      <c r="C45" s="14" t="inlineStr">
        <is>
          <t>時価が借入残高より小さい状態です。桁や利回りの計算を確かめてください</t>
        </is>
      </c>
    </row>
    <row r="46">
      <c r="A46" s="9" t="inlineStr">
        <is>
          <t>保険にレートの無い通貨がある</t>
        </is>
      </c>
      <c r="B46" s="30">
        <f>IF(SUMPRODUCT(('保険'!A8:A14&lt;&gt;"")*ISERROR(MATCH('保険'!C8:C14,'基本情報'!$A$10:$A$13,0)))&gt;0,"要確認","OK")</f>
        <v/>
      </c>
      <c r="C46" s="14" t="inlineStr">
        <is>
          <t>「基本情報」タブの為替レートに、使った通貨を足してください</t>
        </is>
      </c>
    </row>
  </sheetData>
  <conditionalFormatting sqref="B38:B46">
    <cfRule type="cellIs" priority="1" operator="equal" dxfId="0">
      <formula>"要確認"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2026-09-06T20:40:07Z</dcterms:created>
  <dcterms:modified xsi:type="dcterms:W3CDTF">2026-09-06T20:40:07Z</dcterms:modified>
</cp:coreProperties>
</file>