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保険" sheetId="5" state="visible" r:id="rId7"/>
    <sheet name="預貯金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今売ったらいくらか、の推定額です。空欄で構いません。右の「月間総収入」と「実質利回り」を入れると収益還元法で自動計算します。査定書などの金額を直接入れたいときは、この欄に数字を上書きしてください。全物件に入れると①サマリーに総資産と純資産が出ます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件でも空欄なら出しません。</t>
        </r>
      </text>
    </comment>
    <comment ref="J4" authorId="0">
      <text>
        <r>
          <rPr>
            <sz val="10"/>
            <rFont val="WenQuanYi Zen Hei"/>
            <family val="2"/>
          </rPr>
          <t xml:space="preserve">収益還元法で時価を出すときの、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か月あたりの総収入（満室想定）です。共益費などを含む場合は「家賃収入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」と違う金額になって構いません。ここから管理費と修繕積立金を引いて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倍し、年間の純収益にします。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実質利回りを </t>
        </r>
        <r>
          <rPr>
            <sz val="10"/>
            <rFont val="Arial"/>
            <family val="2"/>
          </rPr>
          <t xml:space="preserve">% </t>
        </r>
        <r>
          <rPr>
            <sz val="10"/>
            <rFont val="WenQuanYi Zen Hei"/>
            <family val="2"/>
          </rPr>
          <t xml:space="preserve">のまま入れてください。</t>
        </r>
        <r>
          <rPr>
            <sz val="10"/>
            <rFont val="Arial"/>
            <family val="2"/>
          </rPr>
          <t xml:space="preserve">4% </t>
        </r>
        <r>
          <rPr>
            <sz val="10"/>
            <rFont val="WenQuanYi Zen Hei"/>
            <family val="2"/>
          </rPr>
          <t xml:space="preserve">なら「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」、</t>
        </r>
        <r>
          <rPr>
            <sz val="10"/>
            <rFont val="Arial"/>
            <family val="2"/>
          </rPr>
          <t xml:space="preserve">3.5% </t>
        </r>
        <r>
          <rPr>
            <sz val="10"/>
            <rFont val="WenQuanYi Zen Hei"/>
            <family val="2"/>
          </rPr>
          <t xml:space="preserve">なら「</t>
        </r>
        <r>
          <rPr>
            <sz val="10"/>
            <rFont val="Arial"/>
            <family val="2"/>
          </rPr>
          <t xml:space="preserve">3.5</t>
        </r>
        <r>
          <rPr>
            <sz val="10"/>
            <rFont val="WenQuanYi Zen Hei"/>
            <family val="2"/>
          </rPr>
          <t xml:space="preserve">」です。</t>
        </r>
        <r>
          <rPr>
            <sz val="10"/>
            <rFont val="Arial"/>
            <family val="2"/>
          </rPr>
          <t xml:space="preserve">0.04 </t>
        </r>
        <r>
          <rPr>
            <sz val="10"/>
            <rFont val="WenQuanYi Zen Hei"/>
            <family val="2"/>
          </rPr>
          <t xml:space="preserve">のように小数で入れる必要はありません（シートが</t>
        </r>
        <r>
          <rPr>
            <sz val="10"/>
            <rFont val="Arial"/>
            <family val="2"/>
          </rPr>
          <t xml:space="preserve">100</t>
        </r>
        <r>
          <rPr>
            <sz val="10"/>
            <rFont val="WenQuanYi Zen Hei"/>
            <family val="2"/>
          </rPr>
          <t xml:space="preserve">で割ります）。</t>
        </r>
      </text>
    </comment>
    <comment ref="M4" authorId="0">
      <text>
        <r>
          <rPr>
            <sz val="10"/>
            <rFont val="WenQuanYi Zen Hei"/>
            <family val="2"/>
          </rPr>
          <t xml:space="preserve">その時価をどう出したか。例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不動産会社の査定書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取引事例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路線価から換算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自己推定。空欄で構いませんが、書いておくと後から根拠をたどれます。</t>
        </r>
      </text>
    </comment>
    <comment ref="P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V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<sst xmlns="http://schemas.openxmlformats.org/spreadsheetml/2006/main" count="229" uniqueCount="189">
  <si>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</si>
  <si>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</si>
  <si>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</si>
  <si>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</si>
  <si>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</si>
  <si>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</si>
  <si>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</si>
  <si>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</si>
  <si>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</si>
  <si>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</si>
  <si>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</si>
  <si>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</si>
  <si>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</si>
  <si>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</si>
  <si>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</si>
  <si>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</si>
  <si>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</si>
  <si>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</si>
  <si>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</si>
  <si>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</si>
  <si>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</si>
  <si>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</si>
  <si>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</si>
  <si>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</si>
  <si>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</si>
  <si>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</si>
  <si>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</si>
  <si>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</si>
  <si>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</si>
  <si>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</si>
  <si>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</si>
  <si>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</si>
  <si>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</si>
  <si>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</si>
  <si>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</si>
  <si>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</si>
  <si>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</si>
  <si>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</si>
  <si>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</si>
  <si>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</si>
  <si>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</si>
  <si>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</si>
  <si>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</si>
  <si>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</si>
  <si>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</si>
  <si>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</si>
  <si>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</si>
  <si>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</si>
  <si>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</si>
  <si>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t xml:space="preserve">時価</t>
  </si>
  <si>
    <r>
      <rPr>
        <b val="true"/>
        <sz val="10"/>
        <color rgb="FFFFFFFF"/>
        <rFont val="WenQuanYi Zen Hei"/>
        <family val="2"/>
      </rPr>
      <t xml:space="preserve">月間総収入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</si>
  <si>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実質利回り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</si>
  <si>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</si>
  <si>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評価の根拠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</si>
  <si>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</si>
  <si>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</si>
  <si>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</si>
  <si>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</si>
  <si>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</si>
  <si>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</si>
  <si>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</si>
  <si>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</si>
  <si>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</si>
  <si>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</si>
  <si>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</si>
  <si>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</si>
  <si>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</si>
  <si>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</si>
  <si>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含み損益</t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</si>
  <si>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</si>
  <si>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</si>
  <si>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</si>
  <si>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t xml:space="preserve">2026-08-01</t>
  </si>
  <si>
    <t xml:space="preserve">収益還元法</t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</si>
  <si>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</si>
  <si>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</si>
  <si>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</si>
  <si>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</si>
  <si>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</si>
  <si>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</si>
  <si>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</si>
  <si>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</si>
  <si>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</si>
  <si>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</si>
  <si>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</si>
  <si>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</si>
  <si>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</si>
  <si>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</si>
  <si>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</si>
  <si>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</si>
  <si>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</si>
  <si>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</si>
  <si>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</si>
  <si>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</si>
  <si>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</si>
  <si>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</si>
  <si>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</si>
  <si>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</si>
  <si>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</si>
  <si>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</si>
  <si>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</si>
  <si>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</si>
  <si>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</si>
  <si>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</si>
  <si>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</si>
  <si>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</si>
  <si>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</si>
  <si>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</si>
  <si>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</si>
  <si>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</si>
  <si>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</si>
  <si>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</si>
  <si>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t xml:space="preserve">合計（見本行は数えません）</t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</si>
  <si>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</si>
  <si>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</si>
  <si>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</si>
  <si>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</si>
  <si>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</si>
  <si>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</si>
  <si>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</si>
  <si>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</si>
  <si>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</si>
  <si>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</si>
  <si>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</si>
  <si>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</si>
  <si>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</si>
  <si>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</si>
  <si>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</si>
  <si>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</si>
  <si>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</si>
  <si>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</si>
  <si>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</si>
  <si>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</si>
  <si>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</si>
  <si>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</si>
  <si>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</si>
  <si>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</si>
  <si>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</si>
  <si>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</si>
  <si>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</si>
  <si>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</si>
  <si>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</si>
  <si>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</si>
  <si>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</si>
  <si>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</si>
  <si>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</si>
  <si>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</si>
  <si>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</si>
  <si>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</si>
  <si>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</si>
  <si>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</si>
  <si>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</si>
  <si>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</si>
  <si>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</si>
  <si>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時価合計</t>
  </si>
  <si>
    <t xml:space="preserve">手で入れた推定値。空欄の物件は数えません</t>
  </si>
  <si>
    <t xml:space="preserve">時価 − 総投資額（時価を入れた物件だけ）</t>
  </si>
  <si>
    <t xml:space="preserve">LTV</t>
  </si>
  <si>
    <r>
      <rPr>
        <sz val="9"/>
        <color rgb="FF595959"/>
        <rFont val="WenQuanYi Zen Hei"/>
        <family val="2"/>
      </rPr>
      <t xml:space="preserve">残債合計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時価合計</t>
    </r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</si>
  <si>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</si>
  <si>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</si>
  <si>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</si>
  <si>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</si>
  <si>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</si>
  <si>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</si>
  <si>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総資産・純資産</t>
  </si>
  <si>
    <t xml:space="preserve">時価を入れた物件数</t>
  </si>
  <si>
    <r>
      <rPr>
        <sz val="9"/>
        <color rgb="FF595959"/>
        <rFont val="WenQuanYi Zen Hei"/>
        <family val="2"/>
      </rPr>
      <t xml:space="preserve">ここが揃うと下の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つが出ます</t>
    </r>
  </si>
  <si>
    <t xml:space="preserve">総資産</t>
  </si>
  <si>
    <t xml:space="preserve">金融資産 ＋ 不動産（時価）</t>
  </si>
  <si>
    <t xml:space="preserve">純資産</t>
  </si>
  <si>
    <t xml:space="preserve">総資産 − 総負債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</si>
  <si>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</si>
  <si>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</si>
  <si>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</si>
  <si>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</si>
  <si>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</si>
  <si>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</si>
  <si>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</si>
  <si>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</si>
  <si>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</si>
  <si>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</si>
  <si>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</si>
  <si>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</si>
  <si>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</si>
  <si>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</si>
  <si>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時価が残債を下回る物件</t>
  </si>
  <si>
    <t xml:space="preserve">時価が借入残高より小さい状態です。桁や利回りの計算を確かめてください</t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</si>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</sst>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0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7" min="16" style="0" width="11"/>
    <col collapsed="false" customWidth="true" hidden="false" outlineLevel="0" max="19" min="18" style="0" width="13"/>
    <col collapsed="false" customWidth="true" hidden="false" outlineLevel="0" max="20" min="20" style="0" width="12"/>
    <col collapsed="false" customWidth="true" hidden="false" outlineLevel="0" max="21" min="21" style="0" width="13"/>
    <col collapsed="false" customWidth="true" hidden="false" outlineLevel="0" max="22" min="22" style="0" width="15"/>
    <col collapsed="false" customWidth="true" hidden="false" outlineLevel="0" max="23" min="23" style="0" width="14"/>
    <col collapsed="false" customWidth="true" hidden="false" outlineLevel="0" max="24" min="24" style="0" width="13"/>
    <col collapsed="false" customWidth="true" hidden="false" outlineLevel="0" max="25" min="25" style="0" width="14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4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  <c r="W4" s="21" t="s">
        <v>63</v>
      </c>
      <c r="X4" s="21" t="s">
        <v>64</v>
      </c>
      <c r="Y4" s="21" t="s">
        <v>65</v>
      </c>
      <c r="Z4" s="21" t="s">
        <v>66</v>
      </c>
      <c r="AA4" s="21" t="s">
        <v>67</v>
      </c>
      <c r="AB4" s="21" t="s">
        <v>68</v>
      </c>
    </row>
    <row r="5" customFormat="false" ht="15" hidden="false" customHeight="false" outlineLevel="0" collapsed="false">
      <c r="A5" s="7" t="s">
        <v>69</v>
      </c>
      <c r="B5" s="7" t="s">
        <v>70</v>
      </c>
      <c r="C5" s="22" t="n">
        <v>45.5</v>
      </c>
      <c r="D5" s="23" t="s">
        <v>71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4" t="n">
        <f aca="false">IF(OR(J5="",K5=""),"",ROUND((J5-T5-U5)*12/(K5/100),0))</f>
        <v>54000000</v>
      </c>
      <c r="J5" s="24" t="n">
        <v>200000</v>
      </c>
      <c r="K5" s="25" t="n">
        <v>4</v>
      </c>
      <c r="L5" s="23" t="s">
        <v>72</v>
      </c>
      <c r="M5" s="7" t="s">
        <v>73</v>
      </c>
      <c r="N5" s="23" t="s">
        <v>74</v>
      </c>
      <c r="O5" s="25" t="n">
        <v>1.8</v>
      </c>
      <c r="P5" s="7" t="n">
        <v>26</v>
      </c>
      <c r="Q5" s="7" t="n">
        <v>11</v>
      </c>
      <c r="R5" s="24" t="n">
        <v>128000</v>
      </c>
      <c r="S5" s="24" t="n">
        <v>180000</v>
      </c>
      <c r="T5" s="24" t="n">
        <v>12000</v>
      </c>
      <c r="U5" s="24" t="n">
        <v>8000</v>
      </c>
      <c r="V5" s="24" t="n">
        <v>108000</v>
      </c>
      <c r="W5" s="24" t="n">
        <f aca="false">F5+G5</f>
        <v>50000000</v>
      </c>
      <c r="X5" s="24" t="n">
        <f aca="false">G5-H5</f>
        <v>4500000</v>
      </c>
      <c r="Y5" s="24" t="n">
        <f aca="false">ROUND(V5/12,0)</f>
        <v>9000</v>
      </c>
      <c r="Z5" s="24" t="n">
        <f aca="false">S5-R5-T5-U5-Y5</f>
        <v>23000</v>
      </c>
      <c r="AA5" s="7" t="n">
        <f aca="false">P5*12+Q5</f>
        <v>323</v>
      </c>
      <c r="AB5" s="24" t="n">
        <f aca="false">IF(I5="","",I5-W5)</f>
        <v>4000000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26" t="str">
        <f aca="false">IF(OR(J6="",K6=""),"",ROUND((J6-T6-U6)*12/(K6/100),0))</f>
        <v/>
      </c>
      <c r="J6" s="26"/>
      <c r="K6" s="27"/>
      <c r="L6" s="19"/>
      <c r="M6" s="19"/>
      <c r="N6" s="19"/>
      <c r="O6" s="27"/>
      <c r="P6" s="19"/>
      <c r="Q6" s="19"/>
      <c r="R6" s="26"/>
      <c r="S6" s="26"/>
      <c r="T6" s="26"/>
      <c r="U6" s="26"/>
      <c r="V6" s="26"/>
      <c r="W6" s="28" t="n">
        <f aca="false">F6+G6</f>
        <v>0</v>
      </c>
      <c r="X6" s="28" t="n">
        <f aca="false">G6-H6</f>
        <v>0</v>
      </c>
      <c r="Y6" s="28" t="n">
        <f aca="false">ROUND(V6/12,0)</f>
        <v>0</v>
      </c>
      <c r="Z6" s="28" t="n">
        <f aca="false">S6-R6-T6-U6-Y6</f>
        <v>0</v>
      </c>
      <c r="AA6" s="17" t="n">
        <f aca="false">P6*12+Q6</f>
        <v>0</v>
      </c>
      <c r="AB6" s="28" t="str">
        <f aca="false">IF(I6="","",I6-W6)</f>
        <v/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26" t="str">
        <f aca="false">IF(OR(J7="",K7=""),"",ROUND((J7-T7-U7)*12/(K7/100),0))</f>
        <v/>
      </c>
      <c r="J7" s="26"/>
      <c r="K7" s="27"/>
      <c r="L7" s="19"/>
      <c r="M7" s="19"/>
      <c r="N7" s="19"/>
      <c r="O7" s="27"/>
      <c r="P7" s="19"/>
      <c r="Q7" s="19"/>
      <c r="R7" s="26"/>
      <c r="S7" s="26"/>
      <c r="T7" s="26"/>
      <c r="U7" s="26"/>
      <c r="V7" s="26"/>
      <c r="W7" s="28" t="n">
        <f aca="false">F7+G7</f>
        <v>0</v>
      </c>
      <c r="X7" s="28" t="n">
        <f aca="false">G7-H7</f>
        <v>0</v>
      </c>
      <c r="Y7" s="28" t="n">
        <f aca="false">ROUND(V7/12,0)</f>
        <v>0</v>
      </c>
      <c r="Z7" s="28" t="n">
        <f aca="false">S7-R7-T7-U7-Y7</f>
        <v>0</v>
      </c>
      <c r="AA7" s="17" t="n">
        <f aca="false">P7*12+Q7</f>
        <v>0</v>
      </c>
      <c r="AB7" s="28" t="str">
        <f aca="false">IF(I7="","",I7-W7)</f>
        <v/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26" t="str">
        <f aca="false">IF(OR(J8="",K8=""),"",ROUND((J8-T8-U8)*12/(K8/100),0))</f>
        <v/>
      </c>
      <c r="J8" s="26"/>
      <c r="K8" s="27"/>
      <c r="L8" s="19"/>
      <c r="M8" s="19"/>
      <c r="N8" s="19"/>
      <c r="O8" s="27"/>
      <c r="P8" s="19"/>
      <c r="Q8" s="19"/>
      <c r="R8" s="26"/>
      <c r="S8" s="26"/>
      <c r="T8" s="26"/>
      <c r="U8" s="26"/>
      <c r="V8" s="26"/>
      <c r="W8" s="28" t="n">
        <f aca="false">F8+G8</f>
        <v>0</v>
      </c>
      <c r="X8" s="28" t="n">
        <f aca="false">G8-H8</f>
        <v>0</v>
      </c>
      <c r="Y8" s="28" t="n">
        <f aca="false">ROUND(V8/12,0)</f>
        <v>0</v>
      </c>
      <c r="Z8" s="28" t="n">
        <f aca="false">S8-R8-T8-U8-Y8</f>
        <v>0</v>
      </c>
      <c r="AA8" s="17" t="n">
        <f aca="false">P8*12+Q8</f>
        <v>0</v>
      </c>
      <c r="AB8" s="28" t="str">
        <f aca="false">IF(I8="","",I8-W8)</f>
        <v/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26" t="str">
        <f aca="false">IF(OR(J9="",K9=""),"",ROUND((J9-T9-U9)*12/(K9/100),0))</f>
        <v/>
      </c>
      <c r="J9" s="26"/>
      <c r="K9" s="27"/>
      <c r="L9" s="19"/>
      <c r="M9" s="19"/>
      <c r="N9" s="19"/>
      <c r="O9" s="27"/>
      <c r="P9" s="19"/>
      <c r="Q9" s="19"/>
      <c r="R9" s="26"/>
      <c r="S9" s="26"/>
      <c r="T9" s="26"/>
      <c r="U9" s="26"/>
      <c r="V9" s="26"/>
      <c r="W9" s="28" t="n">
        <f aca="false">F9+G9</f>
        <v>0</v>
      </c>
      <c r="X9" s="28" t="n">
        <f aca="false">G9-H9</f>
        <v>0</v>
      </c>
      <c r="Y9" s="28" t="n">
        <f aca="false">ROUND(V9/12,0)</f>
        <v>0</v>
      </c>
      <c r="Z9" s="28" t="n">
        <f aca="false">S9-R9-T9-U9-Y9</f>
        <v>0</v>
      </c>
      <c r="AA9" s="17" t="n">
        <f aca="false">P9*12+Q9</f>
        <v>0</v>
      </c>
      <c r="AB9" s="28" t="str">
        <f aca="false">IF(I9="","",I9-W9)</f>
        <v/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26" t="str">
        <f aca="false">IF(OR(J10="",K10=""),"",ROUND((J10-T10-U10)*12/(K10/100),0))</f>
        <v/>
      </c>
      <c r="J10" s="26"/>
      <c r="K10" s="27"/>
      <c r="L10" s="19"/>
      <c r="M10" s="19"/>
      <c r="N10" s="19"/>
      <c r="O10" s="27"/>
      <c r="P10" s="19"/>
      <c r="Q10" s="19"/>
      <c r="R10" s="26"/>
      <c r="S10" s="26"/>
      <c r="T10" s="26"/>
      <c r="U10" s="26"/>
      <c r="V10" s="26"/>
      <c r="W10" s="28" t="n">
        <f aca="false">F10+G10</f>
        <v>0</v>
      </c>
      <c r="X10" s="28" t="n">
        <f aca="false">G10-H10</f>
        <v>0</v>
      </c>
      <c r="Y10" s="28" t="n">
        <f aca="false">ROUND(V10/12,0)</f>
        <v>0</v>
      </c>
      <c r="Z10" s="28" t="n">
        <f aca="false">S10-R10-T10-U10-Y10</f>
        <v>0</v>
      </c>
      <c r="AA10" s="17" t="n">
        <f aca="false">P10*12+Q10</f>
        <v>0</v>
      </c>
      <c r="AB10" s="28" t="str">
        <f aca="false">IF(I10="","",I10-W10)</f>
        <v/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26" t="str">
        <f aca="false">IF(OR(J11="",K11=""),"",ROUND((J11-T11-U11)*12/(K11/100),0))</f>
        <v/>
      </c>
      <c r="J11" s="26"/>
      <c r="K11" s="27"/>
      <c r="L11" s="19"/>
      <c r="M11" s="19"/>
      <c r="N11" s="19"/>
      <c r="O11" s="27"/>
      <c r="P11" s="19"/>
      <c r="Q11" s="19"/>
      <c r="R11" s="26"/>
      <c r="S11" s="26"/>
      <c r="T11" s="26"/>
      <c r="U11" s="26"/>
      <c r="V11" s="26"/>
      <c r="W11" s="28" t="n">
        <f aca="false">F11+G11</f>
        <v>0</v>
      </c>
      <c r="X11" s="28" t="n">
        <f aca="false">G11-H11</f>
        <v>0</v>
      </c>
      <c r="Y11" s="28" t="n">
        <f aca="false">ROUND(V11/12,0)</f>
        <v>0</v>
      </c>
      <c r="Z11" s="28" t="n">
        <f aca="false">S11-R11-T11-U11-Y11</f>
        <v>0</v>
      </c>
      <c r="AA11" s="17" t="n">
        <f aca="false">P11*12+Q11</f>
        <v>0</v>
      </c>
      <c r="AB11" s="28" t="str">
        <f aca="false">IF(I11="","",I11-W11)</f>
        <v/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26" t="str">
        <f aca="false">IF(OR(J12="",K12=""),"",ROUND((J12-T12-U12)*12/(K12/100),0))</f>
        <v/>
      </c>
      <c r="J12" s="26"/>
      <c r="K12" s="27"/>
      <c r="L12" s="19"/>
      <c r="M12" s="19"/>
      <c r="N12" s="19"/>
      <c r="O12" s="27"/>
      <c r="P12" s="19"/>
      <c r="Q12" s="19"/>
      <c r="R12" s="26"/>
      <c r="S12" s="26"/>
      <c r="T12" s="26"/>
      <c r="U12" s="26"/>
      <c r="V12" s="26"/>
      <c r="W12" s="28" t="n">
        <f aca="false">F12+G12</f>
        <v>0</v>
      </c>
      <c r="X12" s="28" t="n">
        <f aca="false">G12-H12</f>
        <v>0</v>
      </c>
      <c r="Y12" s="28" t="n">
        <f aca="false">ROUND(V12/12,0)</f>
        <v>0</v>
      </c>
      <c r="Z12" s="28" t="n">
        <f aca="false">S12-R12-T12-U12-Y12</f>
        <v>0</v>
      </c>
      <c r="AA12" s="17" t="n">
        <f aca="false">P12*12+Q12</f>
        <v>0</v>
      </c>
      <c r="AB12" s="28" t="str">
        <f aca="false">IF(I12="","",I12-W12)</f>
        <v/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26" t="str">
        <f aca="false">IF(OR(J13="",K13=""),"",ROUND((J13-T13-U13)*12/(K13/100),0))</f>
        <v/>
      </c>
      <c r="J13" s="26"/>
      <c r="K13" s="27"/>
      <c r="L13" s="19"/>
      <c r="M13" s="19"/>
      <c r="N13" s="19"/>
      <c r="O13" s="27"/>
      <c r="P13" s="19"/>
      <c r="Q13" s="19"/>
      <c r="R13" s="26"/>
      <c r="S13" s="26"/>
      <c r="T13" s="26"/>
      <c r="U13" s="26"/>
      <c r="V13" s="26"/>
      <c r="W13" s="28" t="n">
        <f aca="false">F13+G13</f>
        <v>0</v>
      </c>
      <c r="X13" s="28" t="n">
        <f aca="false">G13-H13</f>
        <v>0</v>
      </c>
      <c r="Y13" s="28" t="n">
        <f aca="false">ROUND(V13/12,0)</f>
        <v>0</v>
      </c>
      <c r="Z13" s="28" t="n">
        <f aca="false">S13-R13-T13-U13-Y13</f>
        <v>0</v>
      </c>
      <c r="AA13" s="17" t="n">
        <f aca="false">P13*12+Q13</f>
        <v>0</v>
      </c>
      <c r="AB13" s="28" t="str">
        <f aca="false">IF(I13="","",I13-W13)</f>
        <v/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26" t="str">
        <f aca="false">IF(OR(J14="",K14=""),"",ROUND((J14-T14-U14)*12/(K14/100),0))</f>
        <v/>
      </c>
      <c r="J14" s="26"/>
      <c r="K14" s="27"/>
      <c r="L14" s="19"/>
      <c r="M14" s="19"/>
      <c r="N14" s="19"/>
      <c r="O14" s="27"/>
      <c r="P14" s="19"/>
      <c r="Q14" s="19"/>
      <c r="R14" s="26"/>
      <c r="S14" s="26"/>
      <c r="T14" s="26"/>
      <c r="U14" s="26"/>
      <c r="V14" s="26"/>
      <c r="W14" s="28" t="n">
        <f aca="false">F14+G14</f>
        <v>0</v>
      </c>
      <c r="X14" s="28" t="n">
        <f aca="false">G14-H14</f>
        <v>0</v>
      </c>
      <c r="Y14" s="28" t="n">
        <f aca="false">ROUND(V14/12,0)</f>
        <v>0</v>
      </c>
      <c r="Z14" s="28" t="n">
        <f aca="false">S14-R14-T14-U14-Y14</f>
        <v>0</v>
      </c>
      <c r="AA14" s="17" t="n">
        <f aca="false">P14*12+Q14</f>
        <v>0</v>
      </c>
      <c r="AB14" s="28" t="str">
        <f aca="false">IF(I14="","",I14-W14)</f>
        <v/>
      </c>
    </row>
    <row r="16" customFormat="false" ht="15" hidden="false" customHeight="false" outlineLevel="0" collapsed="false">
      <c r="A16" s="15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76</v>
      </c>
    </row>
    <row r="2" customFormat="false" ht="15" hidden="false" customHeight="false" outlineLevel="0" collapsed="false">
      <c r="A2" s="15" t="s">
        <v>77</v>
      </c>
    </row>
    <row r="3" customFormat="false" ht="15" hidden="false" customHeight="false" outlineLevel="0" collapsed="false">
      <c r="A3" s="15" t="s">
        <v>78</v>
      </c>
    </row>
    <row r="5" customFormat="false" ht="33.75" hidden="false" customHeight="true" outlineLevel="0" collapsed="false">
      <c r="A5" s="21" t="s">
        <v>79</v>
      </c>
      <c r="B5" s="21" t="s">
        <v>80</v>
      </c>
      <c r="C5" s="21" t="s">
        <v>32</v>
      </c>
      <c r="D5" s="21" t="s">
        <v>81</v>
      </c>
      <c r="E5" s="21" t="s">
        <v>82</v>
      </c>
      <c r="F5" s="21" t="s">
        <v>83</v>
      </c>
      <c r="G5" s="21" t="s">
        <v>68</v>
      </c>
      <c r="H5" s="21" t="s">
        <v>84</v>
      </c>
      <c r="I5" s="21" t="s">
        <v>85</v>
      </c>
    </row>
    <row r="6" customFormat="false" ht="15" hidden="false" customHeight="false" outlineLevel="0" collapsed="false">
      <c r="A6" s="29" t="s">
        <v>86</v>
      </c>
      <c r="B6" s="29" t="s">
        <v>87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86</v>
      </c>
      <c r="B7" s="29" t="s">
        <v>88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86</v>
      </c>
      <c r="B8" s="29" t="s">
        <v>89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86</v>
      </c>
      <c r="B9" s="29" t="s">
        <v>90</v>
      </c>
      <c r="C9" s="19" t="s">
        <v>34</v>
      </c>
      <c r="D9" s="26" t="n">
        <v>800000</v>
      </c>
      <c r="E9" s="26" t="n">
        <v>1200000</v>
      </c>
      <c r="F9" s="30" t="s">
        <v>91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92</v>
      </c>
      <c r="B10" s="29" t="s">
        <v>87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92</v>
      </c>
      <c r="B11" s="29" t="s">
        <v>88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92</v>
      </c>
      <c r="B12" s="29" t="s">
        <v>89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92</v>
      </c>
      <c r="B13" s="29" t="s">
        <v>90</v>
      </c>
      <c r="C13" s="19" t="s">
        <v>36</v>
      </c>
      <c r="D13" s="26" t="n">
        <v>5000</v>
      </c>
      <c r="E13" s="26" t="n">
        <v>11000</v>
      </c>
      <c r="F13" s="30" t="s">
        <v>93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94</v>
      </c>
      <c r="D14" s="31" t="n">
        <f aca="false">SUM(D6:D13)</f>
        <v>6851000</v>
      </c>
      <c r="E14" s="31" t="n">
        <f aca="false">SUM(E6:E13)</f>
        <v>10268500</v>
      </c>
      <c r="F14" s="15" t="s">
        <v>95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96</v>
      </c>
    </row>
    <row r="2" customFormat="false" ht="15" hidden="false" customHeight="false" outlineLevel="0" collapsed="false">
      <c r="A2" s="15" t="s">
        <v>97</v>
      </c>
    </row>
    <row r="3" customFormat="false" ht="15" hidden="false" customHeight="false" outlineLevel="0" collapsed="false">
      <c r="A3" s="15" t="s">
        <v>98</v>
      </c>
    </row>
    <row r="4" customFormat="false" ht="15" hidden="false" customHeight="false" outlineLevel="0" collapsed="false">
      <c r="A4" s="15" t="s">
        <v>99</v>
      </c>
    </row>
    <row r="6" customFormat="false" ht="33.75" hidden="false" customHeight="true" outlineLevel="0" collapsed="false">
      <c r="A6" s="21" t="s">
        <v>100</v>
      </c>
      <c r="B6" s="21" t="s">
        <v>101</v>
      </c>
      <c r="C6" s="21" t="s">
        <v>32</v>
      </c>
      <c r="D6" s="21" t="s">
        <v>102</v>
      </c>
      <c r="E6" s="21" t="s">
        <v>103</v>
      </c>
      <c r="F6" s="21" t="s">
        <v>104</v>
      </c>
      <c r="G6" s="21" t="s">
        <v>105</v>
      </c>
      <c r="H6" s="21" t="s">
        <v>83</v>
      </c>
      <c r="I6" s="21" t="s">
        <v>68</v>
      </c>
      <c r="J6" s="21" t="s">
        <v>106</v>
      </c>
      <c r="K6" s="21" t="s">
        <v>107</v>
      </c>
    </row>
    <row r="7" customFormat="false" ht="15" hidden="false" customHeight="false" outlineLevel="0" collapsed="false">
      <c r="A7" s="7" t="s">
        <v>108</v>
      </c>
      <c r="B7" s="7" t="s">
        <v>109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110</v>
      </c>
      <c r="H7" s="7" t="s">
        <v>111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112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113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114</v>
      </c>
    </row>
    <row r="2" customFormat="false" ht="15" hidden="false" customHeight="false" outlineLevel="0" collapsed="false">
      <c r="A2" s="15" t="s">
        <v>115</v>
      </c>
    </row>
    <row r="4" customFormat="false" ht="33.75" hidden="false" customHeight="true" outlineLevel="0" collapsed="false">
      <c r="A4" s="21" t="s">
        <v>116</v>
      </c>
      <c r="B4" s="21" t="s">
        <v>32</v>
      </c>
      <c r="C4" s="21" t="s">
        <v>117</v>
      </c>
      <c r="D4" s="21" t="s">
        <v>118</v>
      </c>
    </row>
    <row r="5" customFormat="false" ht="15" hidden="false" customHeight="false" outlineLevel="0" collapsed="false">
      <c r="A5" s="7" t="s">
        <v>119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112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120</v>
      </c>
    </row>
    <row r="2" customFormat="false" ht="15" hidden="false" customHeight="false" outlineLevel="0" collapsed="false">
      <c r="A2" s="15" t="s">
        <v>121</v>
      </c>
    </row>
    <row r="3" customFormat="false" ht="15" hidden="false" customHeight="false" outlineLevel="0" collapsed="false">
      <c r="A3" s="15" t="s">
        <v>122</v>
      </c>
    </row>
    <row r="5" customFormat="false" ht="33.75" hidden="false" customHeight="true" outlineLevel="0" collapsed="false">
      <c r="A5" s="21" t="s">
        <v>123</v>
      </c>
      <c r="B5" s="21" t="s">
        <v>80</v>
      </c>
      <c r="C5" s="21" t="s">
        <v>54</v>
      </c>
      <c r="D5" s="21" t="s">
        <v>47</v>
      </c>
      <c r="E5" s="21" t="s">
        <v>48</v>
      </c>
      <c r="F5" s="21" t="s">
        <v>55</v>
      </c>
      <c r="G5" s="21" t="s">
        <v>58</v>
      </c>
      <c r="H5" s="21" t="s">
        <v>124</v>
      </c>
    </row>
    <row r="6" customFormat="false" ht="15" hidden="false" customHeight="false" outlineLevel="0" collapsed="false">
      <c r="A6" s="7" t="s">
        <v>125</v>
      </c>
      <c r="B6" s="7" t="s">
        <v>126</v>
      </c>
      <c r="C6" s="23" t="s">
        <v>127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128</v>
      </c>
    </row>
    <row r="2" customFormat="false" ht="15" hidden="false" customHeight="false" outlineLevel="0" collapsed="false">
      <c r="A2" s="15" t="s">
        <v>129</v>
      </c>
    </row>
    <row r="4" customFormat="false" ht="15" hidden="false" customHeight="false" outlineLevel="0" collapsed="false">
      <c r="A4" s="14" t="s">
        <v>130</v>
      </c>
    </row>
    <row r="5" customFormat="false" ht="15" hidden="false" customHeight="false" outlineLevel="0" collapsed="false">
      <c r="A5" s="10" t="s">
        <v>131</v>
      </c>
      <c r="B5" s="28" t="n">
        <f aca="false">有価証券!H14</f>
        <v>20831200</v>
      </c>
      <c r="C5" s="15" t="s">
        <v>132</v>
      </c>
    </row>
    <row r="6" customFormat="false" ht="15" hidden="false" customHeight="false" outlineLevel="0" collapsed="false">
      <c r="A6" s="10" t="s">
        <v>133</v>
      </c>
      <c r="B6" s="28" t="n">
        <f aca="false">有価証券!H14-有価証券!I14</f>
        <v>6116000</v>
      </c>
      <c r="C6" s="15" t="s">
        <v>134</v>
      </c>
    </row>
    <row r="7" customFormat="false" ht="15" hidden="false" customHeight="false" outlineLevel="0" collapsed="false">
      <c r="A7" s="10" t="s">
        <v>135</v>
      </c>
      <c r="B7" s="28" t="n">
        <f aca="false">保険!J15</f>
        <v>0</v>
      </c>
      <c r="C7" s="15" t="s">
        <v>136</v>
      </c>
    </row>
    <row r="8" customFormat="false" ht="15" hidden="false" customHeight="false" outlineLevel="0" collapsed="false">
      <c r="A8" s="10" t="s">
        <v>133</v>
      </c>
      <c r="B8" s="28" t="n">
        <f aca="false">保険!J15-保険!K15</f>
        <v>0</v>
      </c>
      <c r="C8" s="15" t="s">
        <v>137</v>
      </c>
    </row>
    <row r="9" customFormat="false" ht="15" hidden="false" customHeight="false" outlineLevel="0" collapsed="false">
      <c r="A9" s="10" t="s">
        <v>138</v>
      </c>
      <c r="B9" s="28" t="n">
        <f aca="false">預貯金!D20</f>
        <v>0</v>
      </c>
      <c r="C9" s="15" t="s">
        <v>139</v>
      </c>
    </row>
    <row r="10" customFormat="false" ht="15" hidden="false" customHeight="false" outlineLevel="0" collapsed="false">
      <c r="A10" s="32" t="s">
        <v>140</v>
      </c>
      <c r="B10" s="33" t="n">
        <f aca="false">有価証券!H14+保険!J15+預貯金!D20</f>
        <v>20831200</v>
      </c>
      <c r="C10" s="15" t="s">
        <v>141</v>
      </c>
    </row>
    <row r="11" customFormat="false" ht="15" hidden="false" customHeight="false" outlineLevel="0" collapsed="false">
      <c r="A11" s="10" t="s">
        <v>133</v>
      </c>
      <c r="B11" s="28" t="n">
        <f aca="false">有価証券!H14+保険!J15-有価証券!I14-保険!K15</f>
        <v>6116000</v>
      </c>
      <c r="C11" s="15" t="s">
        <v>142</v>
      </c>
    </row>
    <row r="13" customFormat="false" ht="15" hidden="false" customHeight="false" outlineLevel="0" collapsed="false">
      <c r="A13" s="14" t="s">
        <v>143</v>
      </c>
    </row>
    <row r="14" customFormat="false" ht="15" hidden="false" customHeight="false" outlineLevel="0" collapsed="false">
      <c r="A14" s="10" t="s">
        <v>63</v>
      </c>
      <c r="B14" s="28" t="n">
        <f aca="false">SUM(不動産!$W$6:$W$14)</f>
        <v>0</v>
      </c>
      <c r="C14" s="15" t="s">
        <v>144</v>
      </c>
    </row>
    <row r="15" customFormat="false" ht="15" hidden="false" customHeight="false" outlineLevel="0" collapsed="false">
      <c r="A15" s="10" t="s">
        <v>145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146</v>
      </c>
      <c r="B16" s="28" t="n">
        <f aca="false">SUM(不動産!$G$6:$G$14)</f>
        <v>0</v>
      </c>
      <c r="C16" s="15" t="s">
        <v>147</v>
      </c>
    </row>
    <row r="17" customFormat="false" ht="15" hidden="false" customHeight="false" outlineLevel="0" collapsed="false">
      <c r="A17" s="10" t="s">
        <v>148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64</v>
      </c>
      <c r="B18" s="28" t="n">
        <f aca="false">SUM(不動産!$X$6:$X$14)</f>
        <v>0</v>
      </c>
      <c r="C18" s="15" t="s">
        <v>149</v>
      </c>
    </row>
    <row r="19" customFormat="false" ht="15" hidden="false" customHeight="false" outlineLevel="0" collapsed="false">
      <c r="A19" s="10" t="s">
        <v>150</v>
      </c>
      <c r="B19" s="34" t="n">
        <f aca="false">IFERROR(SUM(不動産!$X$6:$X$14)/SUM(不動産!$G$6:$G$14),0)</f>
        <v>0</v>
      </c>
      <c r="C19" s="15" t="s">
        <v>151</v>
      </c>
    </row>
    <row r="20" customFormat="false" ht="15" hidden="false" customHeight="false" outlineLevel="0" collapsed="false">
      <c r="A20" s="10" t="s">
        <v>152</v>
      </c>
      <c r="B20" s="28" t="n">
        <f aca="false">SUM(不動産!$Z$6:$Z$14)</f>
        <v>0</v>
      </c>
      <c r="C20" s="15" t="s">
        <v>153</v>
      </c>
    </row>
    <row r="21" customFormat="false" ht="15" hidden="false" customHeight="false" outlineLevel="0" collapsed="false">
      <c r="A21" s="10" t="s">
        <v>154</v>
      </c>
      <c r="B21" s="28" t="n">
        <f aca="false">IF(COUNT(不動産!$I$6:$I$14)=0,0,SUM(不動産!$I$6:$I$14))</f>
        <v>0</v>
      </c>
      <c r="C21" s="15" t="s">
        <v>155</v>
      </c>
    </row>
    <row r="22" customFormat="false" ht="15" hidden="false" customHeight="false" outlineLevel="0" collapsed="false">
      <c r="A22" s="10" t="s">
        <v>133</v>
      </c>
      <c r="B22" s="28" t="n">
        <f aca="false">IF(COUNT(不動産!$I$6:$I$14)=0,0,SUM(不動産!$AB$6:$AB$14))</f>
        <v>0</v>
      </c>
      <c r="C22" s="15" t="s">
        <v>156</v>
      </c>
    </row>
    <row r="23" customFormat="false" ht="15" hidden="false" customHeight="false" outlineLevel="0" collapsed="false">
      <c r="A23" s="35" t="s">
        <v>157</v>
      </c>
      <c r="B23" s="34" t="n">
        <f aca="false">IFERROR(SUM(不動産!$H$6:$H$14)/SUM(不動産!$I$6:$I$14),0)</f>
        <v>0</v>
      </c>
      <c r="C23" s="15" t="s">
        <v>158</v>
      </c>
    </row>
    <row r="25" customFormat="false" ht="15" hidden="false" customHeight="false" outlineLevel="0" collapsed="false">
      <c r="A25" s="14" t="s">
        <v>159</v>
      </c>
    </row>
    <row r="26" customFormat="false" ht="15" hidden="false" customHeight="false" outlineLevel="0" collapsed="false">
      <c r="A26" s="10" t="s">
        <v>160</v>
      </c>
      <c r="B26" s="28" t="n">
        <f aca="false">SUM(不動産!$H$6:$H$14)</f>
        <v>0</v>
      </c>
      <c r="C26" s="15"/>
    </row>
    <row r="27" customFormat="false" ht="15" hidden="false" customHeight="false" outlineLevel="0" collapsed="false">
      <c r="A27" s="10" t="s">
        <v>161</v>
      </c>
      <c r="B27" s="28" t="n">
        <f aca="false">SUM(その他の借入!E7:E15)</f>
        <v>0</v>
      </c>
      <c r="C27" s="15" t="s">
        <v>162</v>
      </c>
    </row>
    <row r="28" customFormat="false" ht="15" hidden="false" customHeight="false" outlineLevel="0" collapsed="false">
      <c r="A28" s="32" t="s">
        <v>163</v>
      </c>
      <c r="B28" s="33" t="n">
        <f aca="false">SUM(不動産!$H$6:$H$14)+SUM(その他の借入!E7:E15)</f>
        <v>0</v>
      </c>
      <c r="C28" s="15" t="s">
        <v>164</v>
      </c>
    </row>
    <row r="30" customFormat="false" ht="15" hidden="false" customHeight="false" outlineLevel="0" collapsed="false">
      <c r="A30" s="14" t="s">
        <v>165</v>
      </c>
    </row>
    <row r="31" customFormat="false" ht="15" hidden="false" customHeight="false" outlineLevel="0" collapsed="false">
      <c r="A31" s="10" t="s">
        <v>166</v>
      </c>
      <c r="B31" s="36" t="str">
        <f aca="false">COUNT(不動産!$I$6:$I$14)&amp;" / "&amp;COUNTA(不動産!$A$6:$A$14)&amp;" 物件"</f>
        <v>0 / 0 物件</v>
      </c>
      <c r="C31" s="12" t="s">
        <v>167</v>
      </c>
    </row>
    <row r="32" customFormat="false" ht="15" hidden="false" customHeight="false" outlineLevel="0" collapsed="false">
      <c r="A32" s="10" t="s">
        <v>168</v>
      </c>
      <c r="B32" s="28" t="n">
        <f aca="false">IF(COUNT(不動産!$I$6:$I$14)&lt;&gt;COUNTA(不動産!$A$6:$A$14),"時価未入力あり",有価証券!H14+保険!J15+預貯金!D20+SUM(不動産!$I$6:$I$14))</f>
        <v>20831200</v>
      </c>
      <c r="C32" s="12" t="s">
        <v>169</v>
      </c>
    </row>
    <row r="33" customFormat="false" ht="15" hidden="false" customHeight="false" outlineLevel="0" collapsed="false">
      <c r="A33" s="32" t="s">
        <v>170</v>
      </c>
      <c r="B33" s="33" t="n">
        <f aca="false">IF(COUNT(不動産!$I$6:$I$14)&lt;&gt;COUNTA(不動産!$A$6:$A$14),"時価未入力あり",有価証券!H14+保険!J15+預貯金!D20+SUM(不動産!$I$6:$I$14)-(SUM(不動産!$H$6:$H$14)+SUM(その他の借入!E7:E15)))</f>
        <v>20831200</v>
      </c>
      <c r="C33" s="12" t="s">
        <v>171</v>
      </c>
    </row>
    <row r="36" customFormat="false" ht="15" hidden="false" customHeight="false" outlineLevel="0" collapsed="false">
      <c r="A36" s="14" t="s">
        <v>172</v>
      </c>
    </row>
    <row r="37" customFormat="false" ht="15" hidden="false" customHeight="false" outlineLevel="0" collapsed="false">
      <c r="A37" s="15" t="s">
        <v>173</v>
      </c>
    </row>
    <row r="38" customFormat="false" ht="15" hidden="false" customHeight="false" outlineLevel="0" collapsed="false">
      <c r="A38" s="10" t="s">
        <v>174</v>
      </c>
      <c r="B38" s="36" t="str">
        <f aca="false">IF(SUMPRODUCT((不動産!A6:A14&lt;&gt;"")*(不動産!H6:H14&gt;不動産!G6:G14))&gt;0,"要確認","OK")</f>
        <v>OK</v>
      </c>
      <c r="C38" s="15" t="s">
        <v>175</v>
      </c>
    </row>
    <row r="39" customFormat="false" ht="15" hidden="false" customHeight="false" outlineLevel="0" collapsed="false">
      <c r="A39" s="10" t="s">
        <v>176</v>
      </c>
      <c r="B39" s="36" t="str">
        <f aca="false">IF(SUMPRODUCT((その他の借入!A7:A15&lt;&gt;"")*(その他の借入!E7:E15&gt;その他の借入!D7:D15))&gt;0,"要確認","OK")</f>
        <v>OK</v>
      </c>
      <c r="C39" s="15" t="s">
        <v>177</v>
      </c>
    </row>
    <row r="40" customFormat="false" ht="15" hidden="false" customHeight="false" outlineLevel="0" collapsed="false">
      <c r="A40" s="10" t="s">
        <v>178</v>
      </c>
      <c r="B40" s="36" t="str">
        <f aca="false">IF(SUMPRODUCT((不動産!F6:H14&lt;0)*1)+SUMPRODUCT((有価証券!D6:E13&lt;0)*1)&gt;0,"要確認","OK")</f>
        <v>OK</v>
      </c>
      <c r="C40" s="15" t="s">
        <v>179</v>
      </c>
    </row>
    <row r="41" customFormat="false" ht="15" hidden="false" customHeight="false" outlineLevel="0" collapsed="false">
      <c r="A41" s="10" t="s">
        <v>180</v>
      </c>
      <c r="B41" s="36" t="str">
        <f aca="false">IF(SUMPRODUCT(ISERROR(MATCH(有価証券!C6:C13,基本情報!$A$10:$A$13,0))*1)&gt;0,"要確認","OK")</f>
        <v>OK</v>
      </c>
      <c r="C41" s="15" t="s">
        <v>181</v>
      </c>
    </row>
    <row r="42" customFormat="false" ht="15" hidden="false" customHeight="false" outlineLevel="0" collapsed="false">
      <c r="A42" s="10" t="s">
        <v>182</v>
      </c>
      <c r="B42" s="36" t="str">
        <f aca="false">IF(OR(基本情報!B4="",基本情報!B5=""),"要確認","OK")</f>
        <v>OK</v>
      </c>
      <c r="C42" s="15" t="s">
        <v>183</v>
      </c>
    </row>
    <row r="43" customFormat="false" ht="15" hidden="false" customHeight="false" outlineLevel="0" collapsed="false">
      <c r="A43" s="10" t="s">
        <v>184</v>
      </c>
      <c r="B43" s="36" t="str">
        <f aca="false">IF(SUMPRODUCT((不動産!A6:A14&lt;&gt;"")*((不動産!Q6:Q14&lt;0)+(不動産!Q6:Q14&gt;11)))&gt;0,"要確認","OK")</f>
        <v>OK</v>
      </c>
      <c r="C43" s="37" t="s">
        <v>185</v>
      </c>
    </row>
    <row r="44" customFormat="false" ht="15" hidden="false" customHeight="false" outlineLevel="0" collapsed="false">
      <c r="A44" s="10" t="s">
        <v>186</v>
      </c>
      <c r="B44" s="36" t="str">
        <f aca="false">IF(SUMPRODUCT((不動産!A6:A14&lt;&gt;"")*(不動産!I6:I14&gt;0)*(不動産!I6:I14&lt;不動産!H6:H14))&gt;0,"要確認","OK")</f>
        <v>OK</v>
      </c>
      <c r="C44" s="15" t="s">
        <v>187</v>
      </c>
    </row>
    <row r="45" customFormat="false" ht="15" hidden="false" customHeight="false" outlineLevel="0" collapsed="false">
      <c r="A45" s="10" t="s">
        <v>188</v>
      </c>
      <c r="B45" s="36" t="str">
        <f aca="false">IF(SUMPRODUCT((保険!A8:A14&lt;&gt;"")*ISERROR(MATCH(保険!C8:C14,基本情報!$A$10:$A$13,0)))&gt;0,"要確認","OK")</f>
        <v>OK</v>
      </c>
      <c r="C45" s="15" t="s">
        <v>181</v>
      </c>
    </row>
  </sheetData>
  <conditionalFormatting sqref="B38:B45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2026-09-06T14:23:21Z</dcterms:created>
  <dc:creator>openpyxl</dc:creator>
  <dc:description/>
  <dc:language>en-US</dc:language>
  <cp:lastModifiedBy/>
  <dcterms:modified xsi:type="dcterms:W3CDTF">2026-09-06T14:23:21Z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