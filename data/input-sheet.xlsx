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基本情報" sheetId="2" state="visible" r:id="rId4"/>
    <sheet name="不動産" sheetId="3" state="visible" r:id="rId5"/>
    <sheet name="有価証券" sheetId="4" state="visible" r:id="rId6"/>
    <sheet name="保険" sheetId="5" state="visible" r:id="rId7"/>
    <sheet name="預貯金" sheetId="6" state="visible" r:id="rId8"/>
    <sheet name="その他の借入" sheetId="7" state="visible" r:id="rId9"/>
    <sheet name="検算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WenQuanYi Zen Hei"/>
            <family val="2"/>
          </rPr>
          <t xml:space="preserve">借りたときの金額です。「残債」は今あといくら残っているか。差額が「累計返済額」として自動で出ます。</t>
        </r>
      </text>
    </comment>
    <comment ref="K4" authorId="0">
      <text>
        <r>
          <rPr>
            <sz val="10"/>
            <rFont val="WenQuanYi Zen Hei"/>
            <family val="2"/>
          </rPr>
          <t xml:space="preserve">契約したときの期間です（残りの期間ではありません）。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11</t>
        </r>
        <r>
          <rPr>
            <sz val="10"/>
            <rFont val="WenQuanYi Zen Hei"/>
            <family val="2"/>
          </rPr>
          <t xml:space="preserve">か月なら「年」に 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WenQuanYi Zen Hei"/>
            <family val="2"/>
          </rPr>
          <t xml:space="preserve">、「か月」に </t>
        </r>
        <r>
          <rPr>
            <sz val="10"/>
            <rFont val="Arial"/>
            <family val="2"/>
          </rPr>
          <t xml:space="preserve">11</t>
        </r>
        <r>
          <rPr>
            <sz val="10"/>
            <rFont val="WenQuanYi Zen Hei"/>
            <family val="2"/>
          </rPr>
          <t xml:space="preserve">。ちょうど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WenQuanYi Zen Hei"/>
            <family val="2"/>
          </rPr>
          <t xml:space="preserve">年なら </t>
        </r>
        <r>
          <rPr>
            <sz val="10"/>
            <rFont val="Arial"/>
            <family val="2"/>
          </rPr>
          <t xml:space="preserve">20 </t>
        </r>
        <r>
          <rPr>
            <sz val="10"/>
            <rFont val="WenQuanYi Zen Hei"/>
            <family val="2"/>
          </rPr>
          <t xml:space="preserve">と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。返済回数しか分からないときは </t>
        </r>
        <r>
          <rPr>
            <sz val="10"/>
            <rFont val="Arial"/>
            <family val="2"/>
          </rPr>
          <t xml:space="preserve">12 </t>
        </r>
        <r>
          <rPr>
            <sz val="10"/>
            <rFont val="WenQuanYi Zen Hei"/>
            <family val="2"/>
          </rPr>
          <t xml:space="preserve">で割った商と余りを入れてください。</t>
        </r>
      </text>
    </comment>
    <comment ref="Q4" authorId="0">
      <text>
        <r>
          <rPr>
            <sz val="10"/>
            <rFont val="WenQuanYi Zen Hei"/>
            <family val="2"/>
          </rPr>
          <t xml:space="preserve">年額を入れてください。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年ぶんです。右の「固定資産税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」は </t>
        </r>
        <r>
          <rPr>
            <sz val="10"/>
            <rFont val="Arial"/>
            <family val="2"/>
          </rPr>
          <t xml:space="preserve">12 </t>
        </r>
        <r>
          <rPr>
            <sz val="10"/>
            <rFont val="WenQuanYi Zen Hei"/>
            <family val="2"/>
          </rPr>
          <t xml:space="preserve">で割った平均月額で、自動計算です。</t>
        </r>
      </text>
    </comment>
    <comment ref="R4" authorId="0">
      <text>
        <r>
          <rPr>
            <sz val="10"/>
            <rFont val="WenQuanYi Zen Hei"/>
            <family val="2"/>
          </rPr>
          <t xml:space="preserve">今売ったらいくらか、の推定額です。空欄で構いません。全物件に入れると、①サマリーに総資産と純資産が出ます。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件でも空欄なら、純資産は出しません（実態より小さく出るため）。</t>
        </r>
      </text>
    </comment>
    <comment ref="T4" authorId="0">
      <text>
        <r>
          <rPr>
            <sz val="10"/>
            <rFont val="WenQuanYi Zen Hei"/>
            <family val="2"/>
          </rPr>
          <t xml:space="preserve">その時価をどう出したか。例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不動産会社の査定書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取引事例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路線価から換算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自己推定。空欄で構いませんが、書いておくと後から根拠をたどれます。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WenQuanYi Zen Hei"/>
            <family val="2"/>
          </rPr>
          <t xml:space="preserve">「基本情報」タブの為替レートに書いた通貨だけ使えます。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WenQuanYi Zen Hei"/>
            <family val="2"/>
          </rPr>
          <t xml:space="preserve">これまでに払った保険料の合計です。取得原価にあたります。</t>
        </r>
      </text>
    </comment>
    <comment ref="G6" authorId="0">
      <text>
        <r>
          <rPr>
            <sz val="10"/>
            <rFont val="WenQuanYi Zen Hei"/>
            <family val="2"/>
          </rPr>
          <t xml:space="preserve">解約返戻金が「いつ時点」の数字かを入れます。基準日とズレていて構いません（画面にそのまま出ます）。</t>
        </r>
      </text>
    </comment>
  </commentList>
</comments>
</file>

<file path=xl/sharedStrings.xml><?xml version="1.0" encoding="utf-8"?>
<sst xmlns="http://schemas.openxmlformats.org/spreadsheetml/2006/main" count="225" uniqueCount="185">
  <si>
    <t xml:space="preserve">資産ダッシュボード 入力シート</t>
  </si>
  <si>
    <r>
      <rPr>
        <b val="true"/>
        <sz val="11"/>
        <rFont val="WenQuanYi Zen Hei"/>
        <family val="2"/>
      </rPr>
      <t xml:space="preserve">使い方は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ステップ</t>
    </r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</si>
  <si>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下のタブ（基本情報・不動産・有価証券・預貯金・その他の借入）を順に埋めます。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</si>
  <si>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「ファイル → 名前を変えて保存」で </t>
    </r>
    <r>
      <rPr>
        <sz val="10"/>
        <rFont val="Arial"/>
        <family val="0"/>
        <charset val="1"/>
      </rPr>
      <t xml:space="preserve">my-assets.xlsx </t>
    </r>
    <r>
      <rPr>
        <sz val="10"/>
        <rFont val="WenQuanYi Zen Hei"/>
        <family val="2"/>
      </rPr>
      <t xml:space="preserve">として保存します（この白紙のひな形は残しておきます）。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</si>
  <si>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このファイルを </t>
    </r>
    <r>
      <rPr>
        <sz val="10"/>
        <rFont val="Arial"/>
        <family val="0"/>
        <charset val="1"/>
      </rPr>
      <t xml:space="preserve">Claude </t>
    </r>
    <r>
      <rPr>
        <sz val="10"/>
        <rFont val="WenQuanYi Zen Hei"/>
        <family val="2"/>
      </rPr>
      <t xml:space="preserve">とのチャットに送ります。</t>
    </r>
    <r>
      <rPr>
        <sz val="10"/>
        <rFont val="Arial"/>
        <family val="0"/>
        <charset val="1"/>
      </rPr>
      <t xml:space="preserve">my-assets.json </t>
    </r>
    <r>
      <rPr>
        <sz val="10"/>
        <rFont val="WenQuanYi Zen Hei"/>
        <family val="2"/>
      </rPr>
      <t xml:space="preserve">に変換してお返しします。</t>
    </r>
  </si>
  <si>
    <t xml:space="preserve">セルの色の意味</t>
  </si>
  <si>
    <t xml:space="preserve">薄い黄色　＝　あなたが入れる欄（文字は青）</t>
  </si>
  <si>
    <r>
      <rPr>
        <sz val="10"/>
        <rFont val="WenQuanYi Zen Hei"/>
        <family val="2"/>
      </rPr>
      <t xml:space="preserve">薄い灰色　＝　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が自動で計算する欄（さわらないでください）</t>
    </r>
  </si>
  <si>
    <t xml:space="preserve">（例）</t>
  </si>
  <si>
    <t xml:space="preserve">灰色の斜体　＝　書き方の見本。消しても残しても構いません（変換のとき読み飛ばします）</t>
  </si>
  <si>
    <t xml:space="preserve">入力するときの決まり</t>
  </si>
  <si>
    <r>
      <rPr>
        <sz val="10"/>
        <rFont val="WenQuanYi Zen Hei"/>
        <family val="2"/>
      </rPr>
      <t xml:space="preserve">・金額は「円」で入れます。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万円は </t>
    </r>
    <r>
      <rPr>
        <sz val="10"/>
        <rFont val="Arial"/>
        <family val="0"/>
        <charset val="1"/>
      </rPr>
      <t xml:space="preserve">10000 </t>
    </r>
    <r>
      <rPr>
        <sz val="10"/>
        <rFont val="WenQuanYi Zen Hei"/>
        <family val="2"/>
      </rPr>
      <t xml:space="preserve">です。カンマ（</t>
    </r>
    <r>
      <rPr>
        <sz val="10"/>
        <rFont val="Arial"/>
        <family val="0"/>
        <charset val="1"/>
      </rPr>
      <t xml:space="preserve">,</t>
    </r>
    <r>
      <rPr>
        <sz val="10"/>
        <rFont val="WenQuanYi Zen Hei"/>
        <family val="2"/>
      </rPr>
      <t xml:space="preserve">）は自分で打たなくて構いません。</t>
    </r>
  </si>
  <si>
    <r>
      <rPr>
        <sz val="10"/>
        <rFont val="WenQuanYi Zen Hei"/>
        <family val="2"/>
      </rPr>
      <t xml:space="preserve">・「月」と書いてある欄は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か月分の金額です。固定資産税だけは年額を入れてください（月額は自動で計算します）。</t>
    </r>
  </si>
  <si>
    <t xml:space="preserve">・数字は半角で入れます。全角の１２３は使えません。</t>
  </si>
  <si>
    <r>
      <rPr>
        <sz val="10"/>
        <rFont val="WenQuanYi Zen Hei"/>
        <family val="2"/>
      </rPr>
      <t xml:space="preserve">・持っていない項目は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のままにします。行ごと消す必要はありません。</t>
    </r>
  </si>
  <si>
    <t xml:space="preserve">・行が足りなくなったら、一番下の行をコピーして貼り付けて増やしてください。</t>
  </si>
  <si>
    <t xml:space="preserve">気をつけていただきたいこと</t>
  </si>
  <si>
    <r>
      <rPr>
        <sz val="10"/>
        <rFont val="WenQuanYi Zen Hei"/>
        <family val="2"/>
      </rPr>
      <t xml:space="preserve">このファイルには氏名と資産の全額が入ります。メールやクラウドに置いたままにせず、</t>
    </r>
    <r>
      <rPr>
        <sz val="10"/>
        <rFont val="Arial"/>
        <family val="0"/>
        <charset val="1"/>
      </rPr>
      <t xml:space="preserve">Mac </t>
    </r>
    <r>
      <rPr>
        <sz val="10"/>
        <rFont val="WenQuanYi Zen Hei"/>
        <family val="2"/>
      </rPr>
      <t xml:space="preserve">の中で保管してください。</t>
    </r>
  </si>
  <si>
    <r>
      <rPr>
        <sz val="10"/>
        <rFont val="Arial"/>
        <family val="0"/>
        <charset val="1"/>
      </rPr>
      <t xml:space="preserve">GitHub </t>
    </r>
    <r>
      <rPr>
        <sz val="10"/>
        <rFont val="WenQuanYi Zen Hei"/>
        <family val="2"/>
      </rPr>
      <t xml:space="preserve">には上げません（</t>
    </r>
    <r>
      <rPr>
        <sz val="10"/>
        <rFont val="Arial"/>
        <family val="0"/>
        <charset val="1"/>
      </rPr>
      <t xml:space="preserve">data/ </t>
    </r>
    <r>
      <rPr>
        <sz val="10"/>
        <rFont val="WenQuanYi Zen Hei"/>
        <family val="2"/>
      </rPr>
      <t xml:space="preserve">フォルダは白紙のひな形と説明書以外が除外してあります）。</t>
    </r>
  </si>
  <si>
    <t xml:space="preserve">「検算」タブに合計と、つじつまの合わない箇所の警告が出ます。送る前に一度ご覧ください。</t>
  </si>
  <si>
    <t xml:space="preserve">基本情報</t>
  </si>
  <si>
    <t xml:space="preserve">項目</t>
  </si>
  <si>
    <t xml:space="preserve">入力</t>
  </si>
  <si>
    <t xml:space="preserve">説明</t>
  </si>
  <si>
    <t xml:space="preserve">氏名</t>
  </si>
  <si>
    <t xml:space="preserve">山田 太郎</t>
  </si>
  <si>
    <t xml:space="preserve">画面の左上に出ます</t>
  </si>
  <si>
    <t xml:space="preserve">基準日</t>
  </si>
  <si>
    <t xml:space="preserve">2026-09-01</t>
  </si>
  <si>
    <r>
      <rPr>
        <sz val="9"/>
        <color rgb="FF595959"/>
        <rFont val="WenQuanYi Zen Hei"/>
        <family val="2"/>
      </rPr>
      <t xml:space="preserve">いつ時点の数字か。</t>
    </r>
    <r>
      <rPr>
        <sz val="9"/>
        <color rgb="FF595959"/>
        <rFont val="Arial"/>
        <family val="0"/>
        <charset val="1"/>
      </rPr>
      <t xml:space="preserve">2026-09-01 </t>
    </r>
    <r>
      <rPr>
        <sz val="9"/>
        <color rgb="FF595959"/>
        <rFont val="WenQuanYi Zen Hei"/>
        <family val="2"/>
      </rPr>
      <t xml:space="preserve">の形で入れます</t>
    </r>
  </si>
  <si>
    <t xml:space="preserve">為替レート</t>
  </si>
  <si>
    <t xml:space="preserve">外貨を持っている場合だけ入れます。「その日のレート」を手で固定します（自動では取りません）。</t>
  </si>
  <si>
    <t xml:space="preserve">通貨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</si>
  <si>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単位あたりの円</t>
    </r>
  </si>
  <si>
    <t xml:space="preserve">JPY</t>
  </si>
  <si>
    <r>
      <rPr>
        <sz val="9"/>
        <color rgb="FF595959"/>
        <rFont val="WenQuanYi Zen Hei"/>
        <family val="2"/>
      </rPr>
      <t xml:space="preserve">日本円。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のまま変えないでください</t>
    </r>
  </si>
  <si>
    <t xml:space="preserve">USD</t>
  </si>
  <si>
    <r>
      <rPr>
        <sz val="9"/>
        <color rgb="FF595959"/>
        <rFont val="WenQuanYi Zen Hei"/>
        <family val="2"/>
      </rPr>
      <t xml:space="preserve">米ドル。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ドルが何円か</t>
    </r>
  </si>
  <si>
    <r>
      <rPr>
        <sz val="9"/>
        <color rgb="FF595959"/>
        <rFont val="WenQuanYi Zen Hei"/>
        <family val="2"/>
      </rPr>
      <t xml:space="preserve">他の通貨があれば（例</t>
    </r>
    <r>
      <rPr>
        <sz val="9"/>
        <color rgb="FF595959"/>
        <rFont val="Arial"/>
        <family val="0"/>
        <charset val="1"/>
      </rPr>
      <t xml:space="preserve">: EUR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</si>
  <si>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4"/>
        <rFont val="WenQuanYi Zen Hei"/>
        <family val="2"/>
      </rPr>
      <t xml:space="preserve">不動産　（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行に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つの物件）</t>
    </r>
  </si>
  <si>
    <r>
      <rPr>
        <sz val="9"/>
        <color rgb="FF595959"/>
        <rFont val="WenQuanYi Zen Hei"/>
        <family val="2"/>
      </rPr>
      <t xml:space="preserve">灰色の「総投資額」「累計返済額」「固定資産税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月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」「月次収支」は自動で計算されます。</t>
    </r>
  </si>
  <si>
    <t xml:space="preserve">物件名</t>
  </si>
  <si>
    <t xml:space="preserve">住所</t>
  </si>
  <si>
    <r>
      <rPr>
        <b val="true"/>
        <sz val="10"/>
        <color rgb="FFFFFFFF"/>
        <rFont val="WenQuanYi Zen Hei"/>
        <family val="2"/>
      </rPr>
      <t xml:space="preserve">広さ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</si>
  <si>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階数</t>
  </si>
  <si>
    <t xml:space="preserve">築年数</t>
  </si>
  <si>
    <t xml:space="preserve">自己資金</t>
  </si>
  <si>
    <t xml:space="preserve">当初借入額</t>
  </si>
  <si>
    <t xml:space="preserve">残債</t>
  </si>
  <si>
    <t xml:space="preserve">借入先</t>
  </si>
  <si>
    <r>
      <rPr>
        <b val="true"/>
        <sz val="10"/>
        <color rgb="FFFFFFFF"/>
        <rFont val="WenQuanYi Zen Hei"/>
        <family val="2"/>
      </rPr>
      <t xml:space="preserve">金利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%)</t>
    </r>
  </si>
  <si>
    <r>
      <rPr>
        <b val="true"/>
        <sz val="10"/>
        <color rgb="FFFFFFFF"/>
        <rFont val="WenQuanYi Zen Hei"/>
        <family val="2"/>
      </rPr>
      <t xml:space="preserve">借入期間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当初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年</t>
    </r>
  </si>
  <si>
    <r>
      <rPr>
        <b val="true"/>
        <sz val="10"/>
        <color rgb="FFFFFFFF"/>
        <rFont val="WenQuanYi Zen Hei"/>
        <family val="2"/>
      </rPr>
      <t xml:space="preserve">借入期間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当初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か月</t>
    </r>
  </si>
  <si>
    <t xml:space="preserve">毎月の返済額</t>
  </si>
  <si>
    <r>
      <rPr>
        <b val="true"/>
        <sz val="10"/>
        <color rgb="FFFFFFFF"/>
        <rFont val="WenQuanYi Zen Hei"/>
        <family val="2"/>
      </rPr>
      <t xml:space="preserve">家賃収入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</si>
  <si>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管理費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</si>
  <si>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修繕積立金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</si>
  <si>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固定資産税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年額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</si>
  <si>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時価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任意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</si>
  <si>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評価日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任意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</si>
  <si>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評価の根拠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任意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</si>
  <si>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総投資額</t>
  </si>
  <si>
    <t xml:space="preserve">累計返済額</t>
  </si>
  <si>
    <r>
      <rPr>
        <b val="true"/>
        <sz val="10"/>
        <color rgb="FFFFFFFF"/>
        <rFont val="WenQuanYi Zen Hei"/>
        <family val="2"/>
      </rPr>
      <t xml:space="preserve">固定資産税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</si>
  <si>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月次収支</t>
  </si>
  <si>
    <r>
      <rPr>
        <b val="true"/>
        <sz val="10"/>
        <color rgb="FFFFFFFF"/>
        <rFont val="WenQuanYi Zen Hei"/>
        <family val="2"/>
      </rPr>
      <t xml:space="preserve">借入期間 合計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か月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</si>
  <si>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含み損益</t>
  </si>
  <si>
    <r>
      <rPr>
        <i val="true"/>
        <sz val="10"/>
        <color rgb="FF808080"/>
        <rFont val="WenQuanYi Zen Hei"/>
        <family val="2"/>
      </rPr>
      <t xml:space="preserve">（例）物件</t>
    </r>
    <r>
      <rPr>
        <i val="true"/>
        <sz val="10"/>
        <color rgb="FF808080"/>
        <rFont val="Arial"/>
        <family val="0"/>
        <charset val="1"/>
      </rPr>
      <t xml:space="preserve">A</t>
    </r>
  </si>
  <si>
    <t xml:space="preserve">東京都港区白金台</t>
  </si>
  <si>
    <r>
      <rPr>
        <i val="true"/>
        <sz val="10"/>
        <color rgb="FF808080"/>
        <rFont val="Arial"/>
        <family val="0"/>
        <charset val="1"/>
      </rPr>
      <t xml:space="preserve">3 / 10 </t>
    </r>
    <r>
      <rPr>
        <i val="true"/>
        <sz val="10"/>
        <color rgb="FF808080"/>
        <rFont val="WenQuanYi Zen Hei"/>
        <family val="2"/>
      </rPr>
      <t xml:space="preserve">階</t>
    </r>
  </si>
  <si>
    <r>
      <rPr>
        <i val="true"/>
        <sz val="10"/>
        <color rgb="FF808080"/>
        <rFont val="Arial"/>
        <family val="0"/>
        <charset val="1"/>
      </rPr>
      <t xml:space="preserve">A</t>
    </r>
    <r>
      <rPr>
        <i val="true"/>
        <sz val="10"/>
        <color rgb="FF808080"/>
        <rFont val="WenQuanYi Zen Hei"/>
        <family val="2"/>
      </rPr>
      <t xml:space="preserve">銀行</t>
    </r>
  </si>
  <si>
    <t xml:space="preserve">2026-08-01</t>
  </si>
  <si>
    <t xml:space="preserve">不動産会社の査定書</t>
  </si>
  <si>
    <r>
      <rPr>
        <sz val="9"/>
        <color rgb="FF595959"/>
        <rFont val="WenQuanYi Zen Hei"/>
        <family val="2"/>
      </rPr>
      <t xml:space="preserve">※ 行が足りないときは、最終行（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WenQuanYi Zen Hei"/>
        <family val="2"/>
      </rPr>
      <t xml:space="preserve">行目）をコピーして下に貼り付けてください。数式も一緒に増えます。</t>
    </r>
  </si>
  <si>
    <r>
      <rPr>
        <b val="true"/>
        <sz val="14"/>
        <rFont val="WenQuanYi Zen Hei"/>
        <family val="2"/>
      </rPr>
      <t xml:space="preserve">有価証券　（国内・海外 </t>
    </r>
    <r>
      <rPr>
        <b val="true"/>
        <sz val="14"/>
        <rFont val="Arial"/>
        <family val="0"/>
        <charset val="1"/>
      </rPr>
      <t xml:space="preserve">× 4</t>
    </r>
    <r>
      <rPr>
        <b val="true"/>
        <sz val="14"/>
        <rFont val="WenQuanYi Zen Hei"/>
        <family val="2"/>
      </rPr>
      <t xml:space="preserve">種類 ＝ 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WenQuanYi Zen Hei"/>
        <family val="2"/>
      </rPr>
      <t xml:space="preserve">行で固定）</t>
    </r>
  </si>
  <si>
    <r>
      <rPr>
        <sz val="9"/>
        <color rgb="FF595959"/>
        <rFont val="WenQuanYi Zen Hei"/>
        <family val="2"/>
      </rPr>
      <t xml:space="preserve">持っていない種類は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のままにします（行は消しません。入れ忘れに気づけるようにするためです）。</t>
    </r>
  </si>
  <si>
    <t xml:space="preserve">「その他」は暗号資産・金・銀などをまとめる欄です。金額はその通貨のままで入れます（円換算は自動）。</t>
  </si>
  <si>
    <t xml:space="preserve">地域</t>
  </si>
  <si>
    <t xml:space="preserve">種類</t>
  </si>
  <si>
    <t xml:space="preserve">取得原価</t>
  </si>
  <si>
    <t xml:space="preserve">評価額</t>
  </si>
  <si>
    <t xml:space="preserve">補足（任意）</t>
  </si>
  <si>
    <t xml:space="preserve">円換算した評価額</t>
  </si>
  <si>
    <t xml:space="preserve">円換算した取得原価</t>
  </si>
  <si>
    <t xml:space="preserve">国内</t>
  </si>
  <si>
    <t xml:space="preserve">株</t>
  </si>
  <si>
    <t xml:space="preserve">債券</t>
  </si>
  <si>
    <t xml:space="preserve">投資信託</t>
  </si>
  <si>
    <t xml:space="preserve">その他</t>
  </si>
  <si>
    <t xml:space="preserve">金地金</t>
  </si>
  <si>
    <t xml:space="preserve">海外</t>
  </si>
  <si>
    <t xml:space="preserve">暗号資産</t>
  </si>
  <si>
    <t xml:space="preserve">合計</t>
  </si>
  <si>
    <t xml:space="preserve">※ 通貨が違うので、この行の取得原価と評価額の合計は目安です）</t>
  </si>
  <si>
    <r>
      <rPr>
        <b val="true"/>
        <sz val="14"/>
        <rFont val="WenQuanYi Zen Hei"/>
        <family val="2"/>
      </rPr>
      <t xml:space="preserve">保険　（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行に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つの契約）</t>
    </r>
  </si>
  <si>
    <t xml:space="preserve">貯蓄性のある保険（終身・養老・個人年金など）を書きます。掛け捨ての医療保険などは書きません。</t>
  </si>
  <si>
    <t xml:space="preserve">評価額には「解約返戻金」（今解約したら戻る額）を入れます。毎年届く「ご契約内容のお知らせ」か保険会社のマイページで分かります。</t>
  </si>
  <si>
    <t xml:space="preserve">※ 死亡保険金額は参考です。今使えるお金ではないので、資産の合計には足しません。</t>
  </si>
  <si>
    <t xml:space="preserve">保険名</t>
  </si>
  <si>
    <t xml:space="preserve">保険会社</t>
  </si>
  <si>
    <t xml:space="preserve">払込保険料 累計</t>
  </si>
  <si>
    <t xml:space="preserve">解約返戻金</t>
  </si>
  <si>
    <r>
      <rPr>
        <b val="true"/>
        <sz val="10"/>
        <color rgb="FFFFFFFF"/>
        <rFont val="WenQuanYi Zen Hei"/>
        <family val="2"/>
      </rPr>
      <t xml:space="preserve">死亡保険金額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参考・資産に含めず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</si>
  <si>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評価日</t>
  </si>
  <si>
    <t xml:space="preserve">円換算した解約返戻金</t>
  </si>
  <si>
    <t xml:space="preserve">円換算した払込保険料</t>
  </si>
  <si>
    <t xml:space="preserve">（例）変額終身保険</t>
  </si>
  <si>
    <t xml:space="preserve">○○生命</t>
  </si>
  <si>
    <t xml:space="preserve">2026-03-31</t>
  </si>
  <si>
    <r>
      <rPr>
        <i val="true"/>
        <sz val="10"/>
        <color rgb="FF808080"/>
        <rFont val="WenQuanYi Zen Hei"/>
        <family val="2"/>
      </rPr>
      <t xml:space="preserve">解約返戻金は年</t>
    </r>
    <r>
      <rPr>
        <i val="true"/>
        <sz val="10"/>
        <color rgb="FF808080"/>
        <rFont val="Arial"/>
        <family val="0"/>
        <charset val="1"/>
      </rPr>
      <t xml:space="preserve">1</t>
    </r>
    <r>
      <rPr>
        <i val="true"/>
        <sz val="10"/>
        <color rgb="FF808080"/>
        <rFont val="WenQuanYi Zen Hei"/>
        <family val="2"/>
      </rPr>
      <t xml:space="preserve">回の通知の数字</t>
    </r>
  </si>
  <si>
    <t xml:space="preserve">合計（見本行は数えません）</t>
  </si>
  <si>
    <r>
      <rPr>
        <sz val="9"/>
        <color rgb="FF595959"/>
        <rFont val="WenQuanYi Zen Hei"/>
        <family val="2"/>
      </rPr>
      <t xml:space="preserve">※ 解約返戻金がまだ分からないときは、払込保険料累計と同じ額を入れ、「補足」に「解約返戻金 未確認（暫定）」と書いてください。含み損益は </t>
    </r>
    <r>
      <rPr>
        <sz val="9"/>
        <color rgb="FF595959"/>
        <rFont val="Arial"/>
        <family val="0"/>
        <charset val="1"/>
      </rPr>
      <t xml:space="preserve">±0 </t>
    </r>
    <r>
      <rPr>
        <sz val="9"/>
        <color rgb="FF595959"/>
        <rFont val="WenQuanYi Zen Hei"/>
        <family val="2"/>
      </rPr>
      <t xml:space="preserve">になります。</t>
    </r>
  </si>
  <si>
    <r>
      <rPr>
        <b val="true"/>
        <sz val="14"/>
        <rFont val="WenQuanYi Zen Hei"/>
        <family val="2"/>
      </rPr>
      <t xml:space="preserve">預貯金　（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行に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つの口座）</t>
    </r>
  </si>
  <si>
    <r>
      <rPr>
        <sz val="9"/>
        <color rgb="FF595959"/>
        <rFont val="WenQuanYi Zen Hei"/>
        <family val="2"/>
      </rPr>
      <t xml:space="preserve">同じ銀行に複数口座があるときは、まとめて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行にしても、分けて書いても構いません。</t>
    </r>
  </si>
  <si>
    <t xml:space="preserve">金融機関</t>
  </si>
  <si>
    <t xml:space="preserve">残高</t>
  </si>
  <si>
    <t xml:space="preserve">円換算した残高</t>
  </si>
  <si>
    <r>
      <rPr>
        <i val="true"/>
        <sz val="10"/>
        <color rgb="FF808080"/>
        <rFont val="WenQuanYi Zen Hei"/>
        <family val="2"/>
      </rPr>
      <t xml:space="preserve">（例）</t>
    </r>
    <r>
      <rPr>
        <i val="true"/>
        <sz val="10"/>
        <color rgb="FF808080"/>
        <rFont val="Arial"/>
        <family val="0"/>
        <charset val="1"/>
      </rPr>
      <t xml:space="preserve">A</t>
    </r>
    <r>
      <rPr>
        <i val="true"/>
        <sz val="10"/>
        <color rgb="FF808080"/>
        <rFont val="WenQuanYi Zen Hei"/>
        <family val="2"/>
      </rPr>
      <t xml:space="preserve">銀行</t>
    </r>
  </si>
  <si>
    <r>
      <rPr>
        <b val="true"/>
        <sz val="14"/>
        <rFont val="WenQuanYi Zen Hei"/>
        <family val="2"/>
      </rPr>
      <t xml:space="preserve">不動産以外の借入　（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行に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つのローン）</t>
    </r>
  </si>
  <si>
    <t xml:space="preserve">車のローン、教育ローン、多目的ローンなど。不動産のローンは「不動産」タブに書くので、ここには書きません。</t>
  </si>
  <si>
    <t xml:space="preserve">借入がなければ、すべて空のままで構いません。</t>
  </si>
  <si>
    <t xml:space="preserve">借入の名前</t>
  </si>
  <si>
    <t xml:space="preserve">返済済み</t>
  </si>
  <si>
    <t xml:space="preserve">（例）自動車ローン</t>
  </si>
  <si>
    <t xml:space="preserve">車</t>
  </si>
  <si>
    <r>
      <rPr>
        <i val="true"/>
        <sz val="10"/>
        <color rgb="FF808080"/>
        <rFont val="Arial"/>
        <family val="0"/>
        <charset val="1"/>
      </rPr>
      <t xml:space="preserve">D</t>
    </r>
    <r>
      <rPr>
        <i val="true"/>
        <sz val="10"/>
        <color rgb="FF808080"/>
        <rFont val="WenQuanYi Zen Hei"/>
        <family val="2"/>
      </rPr>
      <t xml:space="preserve">銀行</t>
    </r>
  </si>
  <si>
    <t xml:space="preserve">検算　（自動計算。送る前にここを見てください）</t>
  </si>
  <si>
    <t xml:space="preserve">この表はすべて自動です。画面に出る数字と同じものを先に確かめられます。</t>
  </si>
  <si>
    <t xml:space="preserve">金融資産</t>
  </si>
  <si>
    <t xml:space="preserve">有価証券（評価額・円）</t>
  </si>
  <si>
    <t xml:space="preserve">円換算した評価額の合計</t>
  </si>
  <si>
    <t xml:space="preserve">　うち含み損益</t>
  </si>
  <si>
    <t xml:space="preserve">円換算した評価額 − 円換算した取得原価</t>
  </si>
  <si>
    <t xml:space="preserve">保険（解約返戻金・円）</t>
  </si>
  <si>
    <t xml:space="preserve">死亡保険金額は含めません</t>
  </si>
  <si>
    <t xml:space="preserve">解約返戻金 − 払込保険料（保障の対価を含む）</t>
  </si>
  <si>
    <t xml:space="preserve">預貯金</t>
  </si>
  <si>
    <t xml:space="preserve">円換算した残高の合計</t>
  </si>
  <si>
    <t xml:space="preserve">金融資産合計</t>
  </si>
  <si>
    <t xml:space="preserve">有価証券 ＋ 保険 ＋ 預貯金（不動産は含めません）</t>
  </si>
  <si>
    <t xml:space="preserve">画面のサマリーに出る数字</t>
  </si>
  <si>
    <t xml:space="preserve">不動産</t>
  </si>
  <si>
    <t xml:space="preserve">自己資金 ＋ 当初借入額</t>
  </si>
  <si>
    <t xml:space="preserve">自己資金累計</t>
  </si>
  <si>
    <t xml:space="preserve">借入総額</t>
  </si>
  <si>
    <t xml:space="preserve">当初の借入額の合計</t>
  </si>
  <si>
    <t xml:space="preserve">残債合計</t>
  </si>
  <si>
    <t xml:space="preserve">借入総額 − 残債合計</t>
  </si>
  <si>
    <t xml:space="preserve">返済進捗率</t>
  </si>
  <si>
    <r>
      <rPr>
        <sz val="9"/>
        <color rgb="FF595959"/>
        <rFont val="WenQuanYi Zen Hei"/>
        <family val="2"/>
      </rPr>
      <t xml:space="preserve">累計返済額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借入総額</t>
    </r>
  </si>
  <si>
    <t xml:space="preserve">月次収支の合計</t>
  </si>
  <si>
    <t xml:space="preserve">家賃 − 返済 − 経費。マイナスなら持ち出しです</t>
  </si>
  <si>
    <t xml:space="preserve">時価合計</t>
  </si>
  <si>
    <t xml:space="preserve">手で入れた推定値。空欄の物件は数えません</t>
  </si>
  <si>
    <t xml:space="preserve">時価 − 総投資額（時価を入れた物件だけ）</t>
  </si>
  <si>
    <t xml:space="preserve">LTV</t>
  </si>
  <si>
    <r>
      <rPr>
        <sz val="9"/>
        <color rgb="FF595959"/>
        <rFont val="WenQuanYi Zen Hei"/>
        <family val="2"/>
      </rPr>
      <t xml:space="preserve">残債合計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時価合計</t>
    </r>
  </si>
  <si>
    <t xml:space="preserve">負債</t>
  </si>
  <si>
    <t xml:space="preserve">不動産ローン 残債</t>
  </si>
  <si>
    <t xml:space="preserve">その他の借入 残債</t>
  </si>
  <si>
    <t xml:space="preserve">車・多目的など</t>
  </si>
  <si>
    <t xml:space="preserve">総負債</t>
  </si>
  <si>
    <t xml:space="preserve">不動産 ＋ その他</t>
  </si>
  <si>
    <t xml:space="preserve">総資産・純資産</t>
  </si>
  <si>
    <t xml:space="preserve">時価を入れた物件数</t>
  </si>
  <si>
    <r>
      <rPr>
        <sz val="9"/>
        <color rgb="FF595959"/>
        <rFont val="WenQuanYi Zen Hei"/>
        <family val="2"/>
      </rPr>
      <t xml:space="preserve">ここが揃うと下の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つが出ます</t>
    </r>
  </si>
  <si>
    <t xml:space="preserve">総資産</t>
  </si>
  <si>
    <t xml:space="preserve">金融資産 ＋ 不動産（時価）</t>
  </si>
  <si>
    <t xml:space="preserve">純資産</t>
  </si>
  <si>
    <t xml:space="preserve">総資産 − 総負債</t>
  </si>
  <si>
    <t xml:space="preserve">つじつまの確認</t>
  </si>
  <si>
    <t xml:space="preserve">「要確認」が出たら、その行の説明どおりに直してください。</t>
  </si>
  <si>
    <t xml:space="preserve">残債が当初借入額より大きい物件</t>
  </si>
  <si>
    <t xml:space="preserve">残債は当初借入額以下になるはずです</t>
  </si>
  <si>
    <t xml:space="preserve">残債が当初借入額より大きい借入</t>
  </si>
  <si>
    <t xml:space="preserve">同上</t>
  </si>
  <si>
    <t xml:space="preserve">マイナスの金額が入っている</t>
  </si>
  <si>
    <r>
      <rPr>
        <sz val="9"/>
        <color rgb="FF595959"/>
        <rFont val="WenQuanYi Zen Hei"/>
        <family val="2"/>
      </rPr>
      <t xml:space="preserve">金額はすべて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以上で入れます</t>
    </r>
  </si>
  <si>
    <t xml:space="preserve">為替レートの無い通貨がある</t>
  </si>
  <si>
    <t xml:space="preserve">「基本情報」タブの為替レートに、使った通貨を足してください</t>
  </si>
  <si>
    <t xml:space="preserve">氏名と基準日が入っている</t>
  </si>
  <si>
    <t xml:space="preserve">どちらも必須です</t>
  </si>
  <si>
    <r>
      <rPr>
        <sz val="10"/>
        <rFont val="WenQuanYi Zen Hei"/>
        <family val="2"/>
      </rPr>
      <t xml:space="preserve">借入期間の「か月」が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か</t>
    </r>
  </si>
  <si>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か月以上は「年」の側に繰り上げてください</t>
    </r>
  </si>
  <si>
    <t xml:space="preserve">保険にレートの無い通貨がある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</si>
</sst>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#,##0;\(#,##0\);\-"/>
    <numFmt numFmtId="168" formatCode="0.00\%"/>
    <numFmt numFmtId="169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i val="true"/>
      <sz val="10"/>
      <color rgb="FF808080"/>
      <name val="WenQuanYi Zen Hei"/>
      <family val="2"/>
    </font>
    <font>
      <b val="true"/>
      <sz val="10"/>
      <color rgb="FFFFFFFF"/>
      <name val="WenQuanYi Zen Hei"/>
      <family val="2"/>
    </font>
    <font>
      <sz val="10"/>
      <color rgb="FF0000FF"/>
      <name val="WenQuanYi Zen Hei"/>
      <family val="2"/>
    </font>
    <font>
      <sz val="9"/>
      <color rgb="FF595959"/>
      <name val="WenQuanYi Zen Hei"/>
      <family val="2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2"/>
    </font>
    <font>
      <sz val="10"/>
      <color rgb="FF000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2F5597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96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4"/>
      <c r="C10" s="5" t="s">
        <v>6</v>
      </c>
    </row>
    <row r="11" customFormat="false" ht="15" hidden="false" customHeight="false" outlineLevel="0" collapsed="false">
      <c r="B11" s="6"/>
      <c r="C11" s="5" t="s">
        <v>7</v>
      </c>
    </row>
    <row r="12" customFormat="false" ht="15" hidden="false" customHeight="false" outlineLevel="0" collapsed="false">
      <c r="B12" s="7" t="s">
        <v>8</v>
      </c>
      <c r="C12" s="5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5" t="s">
        <v>13</v>
      </c>
    </row>
    <row r="18" customFormat="false" ht="15" hidden="false" customHeight="false" outlineLevel="0" collapsed="false">
      <c r="B18" s="5" t="s">
        <v>14</v>
      </c>
    </row>
    <row r="19" customFormat="false" ht="15" hidden="false" customHeight="false" outlineLevel="0" collapsed="false">
      <c r="B19" s="5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5" t="s">
        <v>17</v>
      </c>
    </row>
    <row r="23" customFormat="false" ht="15" hidden="false" customHeight="false" outlineLevel="0" collapsed="false">
      <c r="B23" s="3" t="s">
        <v>18</v>
      </c>
    </row>
    <row r="25" customFormat="false" ht="15" hidden="false" customHeight="false" outlineLevel="0" collapsed="false">
      <c r="B25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8" t="s">
        <v>20</v>
      </c>
    </row>
    <row r="3" customFormat="false" ht="15" hidden="false" customHeight="false" outlineLevel="0" collapsed="false">
      <c r="A3" s="9" t="s">
        <v>21</v>
      </c>
      <c r="B3" s="9" t="s">
        <v>22</v>
      </c>
      <c r="C3" s="9" t="s">
        <v>23</v>
      </c>
    </row>
    <row r="4" customFormat="false" ht="15" hidden="false" customHeight="false" outlineLevel="0" collapsed="false">
      <c r="A4" s="10" t="s">
        <v>24</v>
      </c>
      <c r="B4" s="11" t="s">
        <v>25</v>
      </c>
      <c r="C4" s="12" t="s">
        <v>26</v>
      </c>
    </row>
    <row r="5" customFormat="false" ht="15" hidden="false" customHeight="false" outlineLevel="0" collapsed="false">
      <c r="A5" s="10" t="s">
        <v>27</v>
      </c>
      <c r="B5" s="13" t="s">
        <v>28</v>
      </c>
      <c r="C5" s="12" t="s">
        <v>29</v>
      </c>
    </row>
    <row r="7" customFormat="false" ht="15" hidden="false" customHeight="false" outlineLevel="0" collapsed="false">
      <c r="A7" s="14" t="s">
        <v>30</v>
      </c>
    </row>
    <row r="8" customFormat="false" ht="15" hidden="false" customHeight="false" outlineLevel="0" collapsed="false">
      <c r="A8" s="15" t="s">
        <v>31</v>
      </c>
    </row>
    <row r="9" customFormat="false" ht="15" hidden="false" customHeight="false" outlineLevel="0" collapsed="false">
      <c r="A9" s="9" t="s">
        <v>32</v>
      </c>
      <c r="B9" s="16" t="s">
        <v>33</v>
      </c>
      <c r="C9" s="9" t="s">
        <v>23</v>
      </c>
    </row>
    <row r="10" customFormat="false" ht="15" hidden="false" customHeight="false" outlineLevel="0" collapsed="false">
      <c r="A10" s="17" t="s">
        <v>34</v>
      </c>
      <c r="B10" s="18" t="n">
        <v>1</v>
      </c>
      <c r="C10" s="12" t="s">
        <v>35</v>
      </c>
    </row>
    <row r="11" customFormat="false" ht="15" hidden="false" customHeight="false" outlineLevel="0" collapsed="false">
      <c r="A11" s="19" t="s">
        <v>36</v>
      </c>
      <c r="B11" s="20" t="n">
        <v>155.2</v>
      </c>
      <c r="C11" s="12" t="s">
        <v>37</v>
      </c>
    </row>
    <row r="12" customFormat="false" ht="13.4" hidden="false" customHeight="false" outlineLevel="0" collapsed="false">
      <c r="A12" s="19"/>
      <c r="B12" s="20"/>
      <c r="C12" s="12" t="s">
        <v>38</v>
      </c>
    </row>
    <row r="13" customFormat="false" ht="15" hidden="false" customHeight="false" outlineLevel="0" collapsed="false">
      <c r="A13" s="19"/>
      <c r="B13" s="20"/>
      <c r="C1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8" min="6" style="0" width="13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8" min="17" style="0" width="15"/>
    <col collapsed="false" customWidth="true" hidden="false" outlineLevel="0" max="19" min="19" style="0" width="12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2" min="22" style="0" width="13"/>
    <col collapsed="false" customWidth="true" hidden="false" outlineLevel="0" max="23" min="23" style="0" width="14"/>
    <col collapsed="false" customWidth="true" hidden="false" outlineLevel="0" max="24" min="24" style="0" width="13"/>
    <col collapsed="false" customWidth="true" hidden="false" outlineLevel="0" max="25" min="25" style="0" width="15"/>
    <col collapsed="false" customWidth="true" hidden="false" outlineLevel="0" max="26" min="26" style="0" width="14"/>
  </cols>
  <sheetData>
    <row r="1" customFormat="false" ht="19.4" hidden="false" customHeight="false" outlineLevel="0" collapsed="false">
      <c r="A1" s="8" t="s">
        <v>39</v>
      </c>
    </row>
    <row r="2" customFormat="false" ht="15" hidden="false" customHeight="false" outlineLevel="0" collapsed="false">
      <c r="A2" s="15" t="s">
        <v>40</v>
      </c>
    </row>
    <row r="4" customFormat="false" ht="33.75" hidden="false" customHeight="true" outlineLevel="0" collapsed="false">
      <c r="A4" s="21" t="s">
        <v>41</v>
      </c>
      <c r="B4" s="21" t="s">
        <v>42</v>
      </c>
      <c r="C4" s="21" t="s">
        <v>43</v>
      </c>
      <c r="D4" s="21" t="s">
        <v>44</v>
      </c>
      <c r="E4" s="21" t="s">
        <v>45</v>
      </c>
      <c r="F4" s="21" t="s">
        <v>46</v>
      </c>
      <c r="G4" s="21" t="s">
        <v>47</v>
      </c>
      <c r="H4" s="21" t="s">
        <v>48</v>
      </c>
      <c r="I4" s="21" t="s">
        <v>49</v>
      </c>
      <c r="J4" s="21" t="s">
        <v>50</v>
      </c>
      <c r="K4" s="21" t="s">
        <v>51</v>
      </c>
      <c r="L4" s="21" t="s">
        <v>52</v>
      </c>
      <c r="M4" s="21" t="s">
        <v>53</v>
      </c>
      <c r="N4" s="21" t="s">
        <v>54</v>
      </c>
      <c r="O4" s="21" t="s">
        <v>55</v>
      </c>
      <c r="P4" s="21" t="s">
        <v>56</v>
      </c>
      <c r="Q4" s="21" t="s">
        <v>57</v>
      </c>
      <c r="R4" s="21" t="s">
        <v>58</v>
      </c>
      <c r="S4" s="21" t="s">
        <v>59</v>
      </c>
      <c r="T4" s="21" t="s">
        <v>60</v>
      </c>
      <c r="U4" s="21" t="s">
        <v>61</v>
      </c>
      <c r="V4" s="21" t="s">
        <v>62</v>
      </c>
      <c r="W4" s="21" t="s">
        <v>63</v>
      </c>
      <c r="X4" s="21" t="s">
        <v>64</v>
      </c>
      <c r="Y4" s="21" t="s">
        <v>65</v>
      </c>
      <c r="Z4" s="21" t="s">
        <v>66</v>
      </c>
    </row>
    <row r="5" customFormat="false" ht="15" hidden="false" customHeight="false" outlineLevel="0" collapsed="false">
      <c r="A5" s="7" t="s">
        <v>67</v>
      </c>
      <c r="B5" s="7" t="s">
        <v>68</v>
      </c>
      <c r="C5" s="22" t="n">
        <v>45.5</v>
      </c>
      <c r="D5" s="23" t="s">
        <v>69</v>
      </c>
      <c r="E5" s="7" t="n">
        <v>15</v>
      </c>
      <c r="F5" s="24" t="n">
        <v>10000000</v>
      </c>
      <c r="G5" s="24" t="n">
        <v>40000000</v>
      </c>
      <c r="H5" s="24" t="n">
        <v>35500000</v>
      </c>
      <c r="I5" s="23" t="s">
        <v>70</v>
      </c>
      <c r="J5" s="25" t="n">
        <v>1.8</v>
      </c>
      <c r="K5" s="7" t="n">
        <v>26</v>
      </c>
      <c r="L5" s="7" t="n">
        <v>11</v>
      </c>
      <c r="M5" s="24" t="n">
        <v>128000</v>
      </c>
      <c r="N5" s="24" t="n">
        <v>180000</v>
      </c>
      <c r="O5" s="24" t="n">
        <v>12000</v>
      </c>
      <c r="P5" s="24" t="n">
        <v>8000</v>
      </c>
      <c r="Q5" s="24" t="n">
        <v>108000</v>
      </c>
      <c r="R5" s="24" t="n">
        <v>58000000</v>
      </c>
      <c r="S5" s="23" t="s">
        <v>71</v>
      </c>
      <c r="T5" s="7" t="s">
        <v>72</v>
      </c>
      <c r="U5" s="24" t="n">
        <f aca="false">F5+G5</f>
        <v>50000000</v>
      </c>
      <c r="V5" s="24" t="n">
        <f aca="false">G5-H5</f>
        <v>4500000</v>
      </c>
      <c r="W5" s="24" t="n">
        <f aca="false">ROUND(Q5/12,0)</f>
        <v>9000</v>
      </c>
      <c r="X5" s="24" t="n">
        <f aca="false">N5-M5-O5-P5-W5</f>
        <v>23000</v>
      </c>
      <c r="Y5" s="7" t="n">
        <f aca="false">K5*12+L5</f>
        <v>323</v>
      </c>
      <c r="Z5" s="24" t="n">
        <f aca="false">IF(R5="","",R5-U5)</f>
        <v>8000000</v>
      </c>
    </row>
    <row r="6" customFormat="false" ht="15" hidden="false" customHeight="false" outlineLevel="0" collapsed="false">
      <c r="A6" s="19"/>
      <c r="B6" s="19"/>
      <c r="C6" s="20"/>
      <c r="D6" s="19"/>
      <c r="E6" s="19"/>
      <c r="F6" s="26"/>
      <c r="G6" s="26"/>
      <c r="H6" s="26"/>
      <c r="I6" s="19"/>
      <c r="J6" s="27"/>
      <c r="K6" s="19"/>
      <c r="L6" s="19"/>
      <c r="M6" s="26"/>
      <c r="N6" s="26"/>
      <c r="O6" s="26"/>
      <c r="P6" s="26"/>
      <c r="Q6" s="26"/>
      <c r="R6" s="26"/>
      <c r="S6" s="19"/>
      <c r="T6" s="19"/>
      <c r="U6" s="28" t="n">
        <f aca="false">F6+G6</f>
        <v>0</v>
      </c>
      <c r="V6" s="28" t="n">
        <f aca="false">G6-H6</f>
        <v>0</v>
      </c>
      <c r="W6" s="28" t="n">
        <f aca="false">ROUND(Q6/12,0)</f>
        <v>0</v>
      </c>
      <c r="X6" s="28" t="n">
        <f aca="false">N6-M6-O6-P6-W6</f>
        <v>0</v>
      </c>
      <c r="Y6" s="17" t="n">
        <f aca="false">K6*12+L6</f>
        <v>0</v>
      </c>
      <c r="Z6" s="28" t="str">
        <f aca="false">IF(R6="","",R6-U6)</f>
        <v/>
      </c>
    </row>
    <row r="7" customFormat="false" ht="15" hidden="false" customHeight="false" outlineLevel="0" collapsed="false">
      <c r="A7" s="19"/>
      <c r="B7" s="19"/>
      <c r="C7" s="20"/>
      <c r="D7" s="19"/>
      <c r="E7" s="19"/>
      <c r="F7" s="26"/>
      <c r="G7" s="26"/>
      <c r="H7" s="26"/>
      <c r="I7" s="19"/>
      <c r="J7" s="27"/>
      <c r="K7" s="19"/>
      <c r="L7" s="19"/>
      <c r="M7" s="26"/>
      <c r="N7" s="26"/>
      <c r="O7" s="26"/>
      <c r="P7" s="26"/>
      <c r="Q7" s="26"/>
      <c r="R7" s="26"/>
      <c r="S7" s="19"/>
      <c r="T7" s="19"/>
      <c r="U7" s="28" t="n">
        <f aca="false">F7+G7</f>
        <v>0</v>
      </c>
      <c r="V7" s="28" t="n">
        <f aca="false">G7-H7</f>
        <v>0</v>
      </c>
      <c r="W7" s="28" t="n">
        <f aca="false">ROUND(Q7/12,0)</f>
        <v>0</v>
      </c>
      <c r="X7" s="28" t="n">
        <f aca="false">N7-M7-O7-P7-W7</f>
        <v>0</v>
      </c>
      <c r="Y7" s="17" t="n">
        <f aca="false">K7*12+L7</f>
        <v>0</v>
      </c>
      <c r="Z7" s="28" t="str">
        <f aca="false">IF(R7="","",R7-U7)</f>
        <v/>
      </c>
    </row>
    <row r="8" customFormat="false" ht="15" hidden="false" customHeight="false" outlineLevel="0" collapsed="false">
      <c r="A8" s="19"/>
      <c r="B8" s="19"/>
      <c r="C8" s="20"/>
      <c r="D8" s="19"/>
      <c r="E8" s="19"/>
      <c r="F8" s="26"/>
      <c r="G8" s="26"/>
      <c r="H8" s="26"/>
      <c r="I8" s="19"/>
      <c r="J8" s="27"/>
      <c r="K8" s="19"/>
      <c r="L8" s="19"/>
      <c r="M8" s="26"/>
      <c r="N8" s="26"/>
      <c r="O8" s="26"/>
      <c r="P8" s="26"/>
      <c r="Q8" s="26"/>
      <c r="R8" s="26"/>
      <c r="S8" s="19"/>
      <c r="T8" s="19"/>
      <c r="U8" s="28" t="n">
        <f aca="false">F8+G8</f>
        <v>0</v>
      </c>
      <c r="V8" s="28" t="n">
        <f aca="false">G8-H8</f>
        <v>0</v>
      </c>
      <c r="W8" s="28" t="n">
        <f aca="false">ROUND(Q8/12,0)</f>
        <v>0</v>
      </c>
      <c r="X8" s="28" t="n">
        <f aca="false">N8-M8-O8-P8-W8</f>
        <v>0</v>
      </c>
      <c r="Y8" s="17" t="n">
        <f aca="false">K8*12+L8</f>
        <v>0</v>
      </c>
      <c r="Z8" s="28" t="str">
        <f aca="false">IF(R8="","",R8-U8)</f>
        <v/>
      </c>
    </row>
    <row r="9" customFormat="false" ht="15" hidden="false" customHeight="false" outlineLevel="0" collapsed="false">
      <c r="A9" s="19"/>
      <c r="B9" s="19"/>
      <c r="C9" s="20"/>
      <c r="D9" s="19"/>
      <c r="E9" s="19"/>
      <c r="F9" s="26"/>
      <c r="G9" s="26"/>
      <c r="H9" s="26"/>
      <c r="I9" s="19"/>
      <c r="J9" s="27"/>
      <c r="K9" s="19"/>
      <c r="L9" s="19"/>
      <c r="M9" s="26"/>
      <c r="N9" s="26"/>
      <c r="O9" s="26"/>
      <c r="P9" s="26"/>
      <c r="Q9" s="26"/>
      <c r="R9" s="26"/>
      <c r="S9" s="19"/>
      <c r="T9" s="19"/>
      <c r="U9" s="28" t="n">
        <f aca="false">F9+G9</f>
        <v>0</v>
      </c>
      <c r="V9" s="28" t="n">
        <f aca="false">G9-H9</f>
        <v>0</v>
      </c>
      <c r="W9" s="28" t="n">
        <f aca="false">ROUND(Q9/12,0)</f>
        <v>0</v>
      </c>
      <c r="X9" s="28" t="n">
        <f aca="false">N9-M9-O9-P9-W9</f>
        <v>0</v>
      </c>
      <c r="Y9" s="17" t="n">
        <f aca="false">K9*12+L9</f>
        <v>0</v>
      </c>
      <c r="Z9" s="28" t="str">
        <f aca="false">IF(R9="","",R9-U9)</f>
        <v/>
      </c>
    </row>
    <row r="10" customFormat="false" ht="15" hidden="false" customHeight="false" outlineLevel="0" collapsed="false">
      <c r="A10" s="19"/>
      <c r="B10" s="19"/>
      <c r="C10" s="20"/>
      <c r="D10" s="19"/>
      <c r="E10" s="19"/>
      <c r="F10" s="26"/>
      <c r="G10" s="26"/>
      <c r="H10" s="26"/>
      <c r="I10" s="19"/>
      <c r="J10" s="27"/>
      <c r="K10" s="19"/>
      <c r="L10" s="19"/>
      <c r="M10" s="26"/>
      <c r="N10" s="26"/>
      <c r="O10" s="26"/>
      <c r="P10" s="26"/>
      <c r="Q10" s="26"/>
      <c r="R10" s="26"/>
      <c r="S10" s="19"/>
      <c r="T10" s="19"/>
      <c r="U10" s="28" t="n">
        <f aca="false">F10+G10</f>
        <v>0</v>
      </c>
      <c r="V10" s="28" t="n">
        <f aca="false">G10-H10</f>
        <v>0</v>
      </c>
      <c r="W10" s="28" t="n">
        <f aca="false">ROUND(Q10/12,0)</f>
        <v>0</v>
      </c>
      <c r="X10" s="28" t="n">
        <f aca="false">N10-M10-O10-P10-W10</f>
        <v>0</v>
      </c>
      <c r="Y10" s="17" t="n">
        <f aca="false">K10*12+L10</f>
        <v>0</v>
      </c>
      <c r="Z10" s="28" t="str">
        <f aca="false">IF(R10="","",R10-U10)</f>
        <v/>
      </c>
    </row>
    <row r="11" customFormat="false" ht="15" hidden="false" customHeight="false" outlineLevel="0" collapsed="false">
      <c r="A11" s="19"/>
      <c r="B11" s="19"/>
      <c r="C11" s="20"/>
      <c r="D11" s="19"/>
      <c r="E11" s="19"/>
      <c r="F11" s="26"/>
      <c r="G11" s="26"/>
      <c r="H11" s="26"/>
      <c r="I11" s="19"/>
      <c r="J11" s="27"/>
      <c r="K11" s="19"/>
      <c r="L11" s="19"/>
      <c r="M11" s="26"/>
      <c r="N11" s="26"/>
      <c r="O11" s="26"/>
      <c r="P11" s="26"/>
      <c r="Q11" s="26"/>
      <c r="R11" s="26"/>
      <c r="S11" s="19"/>
      <c r="T11" s="19"/>
      <c r="U11" s="28" t="n">
        <f aca="false">F11+G11</f>
        <v>0</v>
      </c>
      <c r="V11" s="28" t="n">
        <f aca="false">G11-H11</f>
        <v>0</v>
      </c>
      <c r="W11" s="28" t="n">
        <f aca="false">ROUND(Q11/12,0)</f>
        <v>0</v>
      </c>
      <c r="X11" s="28" t="n">
        <f aca="false">N11-M11-O11-P11-W11</f>
        <v>0</v>
      </c>
      <c r="Y11" s="17" t="n">
        <f aca="false">K11*12+L11</f>
        <v>0</v>
      </c>
      <c r="Z11" s="28" t="str">
        <f aca="false">IF(R11="","",R11-U11)</f>
        <v/>
      </c>
    </row>
    <row r="12" customFormat="false" ht="15" hidden="false" customHeight="false" outlineLevel="0" collapsed="false">
      <c r="A12" s="19"/>
      <c r="B12" s="19"/>
      <c r="C12" s="20"/>
      <c r="D12" s="19"/>
      <c r="E12" s="19"/>
      <c r="F12" s="26"/>
      <c r="G12" s="26"/>
      <c r="H12" s="26"/>
      <c r="I12" s="19"/>
      <c r="J12" s="27"/>
      <c r="K12" s="19"/>
      <c r="L12" s="19"/>
      <c r="M12" s="26"/>
      <c r="N12" s="26"/>
      <c r="O12" s="26"/>
      <c r="P12" s="26"/>
      <c r="Q12" s="26"/>
      <c r="R12" s="26"/>
      <c r="S12" s="19"/>
      <c r="T12" s="19"/>
      <c r="U12" s="28" t="n">
        <f aca="false">F12+G12</f>
        <v>0</v>
      </c>
      <c r="V12" s="28" t="n">
        <f aca="false">G12-H12</f>
        <v>0</v>
      </c>
      <c r="W12" s="28" t="n">
        <f aca="false">ROUND(Q12/12,0)</f>
        <v>0</v>
      </c>
      <c r="X12" s="28" t="n">
        <f aca="false">N12-M12-O12-P12-W12</f>
        <v>0</v>
      </c>
      <c r="Y12" s="17" t="n">
        <f aca="false">K12*12+L12</f>
        <v>0</v>
      </c>
      <c r="Z12" s="28" t="str">
        <f aca="false">IF(R12="","",R12-U12)</f>
        <v/>
      </c>
    </row>
    <row r="13" customFormat="false" ht="15" hidden="false" customHeight="false" outlineLevel="0" collapsed="false">
      <c r="A13" s="19"/>
      <c r="B13" s="19"/>
      <c r="C13" s="20"/>
      <c r="D13" s="19"/>
      <c r="E13" s="19"/>
      <c r="F13" s="26"/>
      <c r="G13" s="26"/>
      <c r="H13" s="26"/>
      <c r="I13" s="19"/>
      <c r="J13" s="27"/>
      <c r="K13" s="19"/>
      <c r="L13" s="19"/>
      <c r="M13" s="26"/>
      <c r="N13" s="26"/>
      <c r="O13" s="26"/>
      <c r="P13" s="26"/>
      <c r="Q13" s="26"/>
      <c r="R13" s="26"/>
      <c r="S13" s="19"/>
      <c r="T13" s="19"/>
      <c r="U13" s="28" t="n">
        <f aca="false">F13+G13</f>
        <v>0</v>
      </c>
      <c r="V13" s="28" t="n">
        <f aca="false">G13-H13</f>
        <v>0</v>
      </c>
      <c r="W13" s="28" t="n">
        <f aca="false">ROUND(Q13/12,0)</f>
        <v>0</v>
      </c>
      <c r="X13" s="28" t="n">
        <f aca="false">N13-M13-O13-P13-W13</f>
        <v>0</v>
      </c>
      <c r="Y13" s="17" t="n">
        <f aca="false">K13*12+L13</f>
        <v>0</v>
      </c>
      <c r="Z13" s="28" t="str">
        <f aca="false">IF(R13="","",R13-U13)</f>
        <v/>
      </c>
    </row>
    <row r="14" customFormat="false" ht="15" hidden="false" customHeight="false" outlineLevel="0" collapsed="false">
      <c r="A14" s="19"/>
      <c r="B14" s="19"/>
      <c r="C14" s="20"/>
      <c r="D14" s="19"/>
      <c r="E14" s="19"/>
      <c r="F14" s="26"/>
      <c r="G14" s="26"/>
      <c r="H14" s="26"/>
      <c r="I14" s="19"/>
      <c r="J14" s="27"/>
      <c r="K14" s="19"/>
      <c r="L14" s="19"/>
      <c r="M14" s="26"/>
      <c r="N14" s="26"/>
      <c r="O14" s="26"/>
      <c r="P14" s="26"/>
      <c r="Q14" s="26"/>
      <c r="R14" s="26"/>
      <c r="S14" s="19"/>
      <c r="T14" s="19"/>
      <c r="U14" s="28" t="n">
        <f aca="false">F14+G14</f>
        <v>0</v>
      </c>
      <c r="V14" s="28" t="n">
        <f aca="false">G14-H14</f>
        <v>0</v>
      </c>
      <c r="W14" s="28" t="n">
        <f aca="false">ROUND(Q14/12,0)</f>
        <v>0</v>
      </c>
      <c r="X14" s="28" t="n">
        <f aca="false">N14-M14-O14-P14-W14</f>
        <v>0</v>
      </c>
      <c r="Y14" s="17" t="n">
        <f aca="false">K14*12+L14</f>
        <v>0</v>
      </c>
      <c r="Z14" s="28" t="str">
        <f aca="false">IF(R14="","",R14-U14)</f>
        <v/>
      </c>
    </row>
    <row r="16" customFormat="false" ht="15" hidden="false" customHeight="false" outlineLevel="0" collapsed="false">
      <c r="A16" s="15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5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9" min="8" style="0" width="17"/>
  </cols>
  <sheetData>
    <row r="1" customFormat="false" ht="19.4" hidden="false" customHeight="false" outlineLevel="0" collapsed="false">
      <c r="A1" s="8" t="s">
        <v>74</v>
      </c>
    </row>
    <row r="2" customFormat="false" ht="15" hidden="false" customHeight="false" outlineLevel="0" collapsed="false">
      <c r="A2" s="15" t="s">
        <v>75</v>
      </c>
    </row>
    <row r="3" customFormat="false" ht="15" hidden="false" customHeight="false" outlineLevel="0" collapsed="false">
      <c r="A3" s="15" t="s">
        <v>76</v>
      </c>
    </row>
    <row r="5" customFormat="false" ht="33.75" hidden="false" customHeight="true" outlineLevel="0" collapsed="false">
      <c r="A5" s="21" t="s">
        <v>77</v>
      </c>
      <c r="B5" s="21" t="s">
        <v>78</v>
      </c>
      <c r="C5" s="21" t="s">
        <v>32</v>
      </c>
      <c r="D5" s="21" t="s">
        <v>79</v>
      </c>
      <c r="E5" s="21" t="s">
        <v>80</v>
      </c>
      <c r="F5" s="21" t="s">
        <v>81</v>
      </c>
      <c r="G5" s="21" t="s">
        <v>66</v>
      </c>
      <c r="H5" s="21" t="s">
        <v>82</v>
      </c>
      <c r="I5" s="21" t="s">
        <v>83</v>
      </c>
    </row>
    <row r="6" customFormat="false" ht="15" hidden="false" customHeight="false" outlineLevel="0" collapsed="false">
      <c r="A6" s="29" t="s">
        <v>84</v>
      </c>
      <c r="B6" s="29" t="s">
        <v>85</v>
      </c>
      <c r="C6" s="19" t="s">
        <v>34</v>
      </c>
      <c r="D6" s="26" t="n">
        <v>2000000</v>
      </c>
      <c r="E6" s="26" t="n">
        <v>5000000</v>
      </c>
      <c r="F6" s="19"/>
      <c r="G6" s="28" t="n">
        <f aca="false">E6-D6</f>
        <v>3000000</v>
      </c>
      <c r="H6" s="28" t="n">
        <f aca="false">ROUND(E6*IFERROR(INDEX(基本情報!$B$10:$B$13,MATCH(C6,基本情報!$A$10:$A$13,0)),0),0)</f>
        <v>5000000</v>
      </c>
      <c r="I6" s="28" t="n">
        <f aca="false">ROUND(D6*IFERROR(INDEX(基本情報!$B$10:$B$13,MATCH(C6,基本情報!$A$10:$A$13,0)),0),0)</f>
        <v>2000000</v>
      </c>
    </row>
    <row r="7" customFormat="false" ht="15" hidden="false" customHeight="false" outlineLevel="0" collapsed="false">
      <c r="A7" s="29" t="s">
        <v>84</v>
      </c>
      <c r="B7" s="29" t="s">
        <v>86</v>
      </c>
      <c r="C7" s="19" t="s">
        <v>34</v>
      </c>
      <c r="D7" s="26" t="n">
        <v>2700000</v>
      </c>
      <c r="E7" s="26" t="n">
        <v>2500000</v>
      </c>
      <c r="F7" s="19"/>
      <c r="G7" s="28" t="n">
        <f aca="false">E7-D7</f>
        <v>-200000</v>
      </c>
      <c r="H7" s="28" t="n">
        <f aca="false">ROUND(E7*IFERROR(INDEX(基本情報!$B$10:$B$13,MATCH(C7,基本情報!$A$10:$A$13,0)),0),0)</f>
        <v>2500000</v>
      </c>
      <c r="I7" s="28" t="n">
        <f aca="false">ROUND(D7*IFERROR(INDEX(基本情報!$B$10:$B$13,MATCH(C7,基本情報!$A$10:$A$13,0)),0),0)</f>
        <v>2700000</v>
      </c>
    </row>
    <row r="8" customFormat="false" ht="15" hidden="false" customHeight="false" outlineLevel="0" collapsed="false">
      <c r="A8" s="29" t="s">
        <v>84</v>
      </c>
      <c r="B8" s="29" t="s">
        <v>87</v>
      </c>
      <c r="C8" s="19" t="s">
        <v>34</v>
      </c>
      <c r="D8" s="26" t="n">
        <v>1300000</v>
      </c>
      <c r="E8" s="26" t="n">
        <v>1500000</v>
      </c>
      <c r="F8" s="19"/>
      <c r="G8" s="28" t="n">
        <f aca="false">E8-D8</f>
        <v>200000</v>
      </c>
      <c r="H8" s="28" t="n">
        <f aca="false">ROUND(E8*IFERROR(INDEX(基本情報!$B$10:$B$13,MATCH(C8,基本情報!$A$10:$A$13,0)),0),0)</f>
        <v>1500000</v>
      </c>
      <c r="I8" s="28" t="n">
        <f aca="false">ROUND(D8*IFERROR(INDEX(基本情報!$B$10:$B$13,MATCH(C8,基本情報!$A$10:$A$13,0)),0),0)</f>
        <v>1300000</v>
      </c>
    </row>
    <row r="9" customFormat="false" ht="15" hidden="false" customHeight="false" outlineLevel="0" collapsed="false">
      <c r="A9" s="29" t="s">
        <v>84</v>
      </c>
      <c r="B9" s="29" t="s">
        <v>88</v>
      </c>
      <c r="C9" s="19" t="s">
        <v>34</v>
      </c>
      <c r="D9" s="26" t="n">
        <v>800000</v>
      </c>
      <c r="E9" s="26" t="n">
        <v>1200000</v>
      </c>
      <c r="F9" s="30" t="s">
        <v>89</v>
      </c>
      <c r="G9" s="28" t="n">
        <f aca="false">E9-D9</f>
        <v>400000</v>
      </c>
      <c r="H9" s="28" t="n">
        <f aca="false">ROUND(E9*IFERROR(INDEX(基本情報!$B$10:$B$13,MATCH(C9,基本情報!$A$10:$A$13,0)),0),0)</f>
        <v>1200000</v>
      </c>
      <c r="I9" s="28" t="n">
        <f aca="false">ROUND(D9*IFERROR(INDEX(基本情報!$B$10:$B$13,MATCH(C9,基本情報!$A$10:$A$13,0)),0),0)</f>
        <v>800000</v>
      </c>
    </row>
    <row r="10" customFormat="false" ht="15" hidden="false" customHeight="false" outlineLevel="0" collapsed="false">
      <c r="A10" s="29" t="s">
        <v>90</v>
      </c>
      <c r="B10" s="29" t="s">
        <v>85</v>
      </c>
      <c r="C10" s="19" t="s">
        <v>36</v>
      </c>
      <c r="D10" s="26" t="n">
        <v>20000</v>
      </c>
      <c r="E10" s="26" t="n">
        <v>32000</v>
      </c>
      <c r="F10" s="30"/>
      <c r="G10" s="28" t="n">
        <f aca="false">E10-D10</f>
        <v>12000</v>
      </c>
      <c r="H10" s="28" t="n">
        <f aca="false">ROUND(E10*IFERROR(INDEX(基本情報!$B$10:$B$13,MATCH(C10,基本情報!$A$10:$A$13,0)),0),0)</f>
        <v>4966400</v>
      </c>
      <c r="I10" s="28" t="n">
        <f aca="false">ROUND(D10*IFERROR(INDEX(基本情報!$B$10:$B$13,MATCH(C10,基本情報!$A$10:$A$13,0)),0),0)</f>
        <v>3104000</v>
      </c>
    </row>
    <row r="11" customFormat="false" ht="15" hidden="false" customHeight="false" outlineLevel="0" collapsed="false">
      <c r="A11" s="29" t="s">
        <v>90</v>
      </c>
      <c r="B11" s="29" t="s">
        <v>86</v>
      </c>
      <c r="C11" s="19" t="s">
        <v>36</v>
      </c>
      <c r="D11" s="26" t="n">
        <v>18000</v>
      </c>
      <c r="E11" s="26" t="n">
        <v>16000</v>
      </c>
      <c r="F11" s="30"/>
      <c r="G11" s="28" t="n">
        <f aca="false">E11-D11</f>
        <v>-2000</v>
      </c>
      <c r="H11" s="28" t="n">
        <f aca="false">ROUND(E11*IFERROR(INDEX(基本情報!$B$10:$B$13,MATCH(C11,基本情報!$A$10:$A$13,0)),0),0)</f>
        <v>2483200</v>
      </c>
      <c r="I11" s="28" t="n">
        <f aca="false">ROUND(D11*IFERROR(INDEX(基本情報!$B$10:$B$13,MATCH(C11,基本情報!$A$10:$A$13,0)),0),0)</f>
        <v>2793600</v>
      </c>
    </row>
    <row r="12" customFormat="false" ht="15" hidden="false" customHeight="false" outlineLevel="0" collapsed="false">
      <c r="A12" s="29" t="s">
        <v>90</v>
      </c>
      <c r="B12" s="29" t="s">
        <v>87</v>
      </c>
      <c r="C12" s="19" t="s">
        <v>36</v>
      </c>
      <c r="D12" s="26" t="n">
        <v>8000</v>
      </c>
      <c r="E12" s="26" t="n">
        <v>9500</v>
      </c>
      <c r="F12" s="30"/>
      <c r="G12" s="28" t="n">
        <f aca="false">E12-D12</f>
        <v>1500</v>
      </c>
      <c r="H12" s="28" t="n">
        <f aca="false">ROUND(E12*IFERROR(INDEX(基本情報!$B$10:$B$13,MATCH(C12,基本情報!$A$10:$A$13,0)),0),0)</f>
        <v>1474400</v>
      </c>
      <c r="I12" s="28" t="n">
        <f aca="false">ROUND(D12*IFERROR(INDEX(基本情報!$B$10:$B$13,MATCH(C12,基本情報!$A$10:$A$13,0)),0),0)</f>
        <v>1241600</v>
      </c>
    </row>
    <row r="13" customFormat="false" ht="15" hidden="false" customHeight="false" outlineLevel="0" collapsed="false">
      <c r="A13" s="29" t="s">
        <v>90</v>
      </c>
      <c r="B13" s="29" t="s">
        <v>88</v>
      </c>
      <c r="C13" s="19" t="s">
        <v>36</v>
      </c>
      <c r="D13" s="26" t="n">
        <v>5000</v>
      </c>
      <c r="E13" s="26" t="n">
        <v>11000</v>
      </c>
      <c r="F13" s="30" t="s">
        <v>91</v>
      </c>
      <c r="G13" s="28" t="n">
        <f aca="false">E13-D13</f>
        <v>6000</v>
      </c>
      <c r="H13" s="28" t="n">
        <f aca="false">ROUND(E13*IFERROR(INDEX(基本情報!$B$10:$B$13,MATCH(C13,基本情報!$A$10:$A$13,0)),0),0)</f>
        <v>1707200</v>
      </c>
      <c r="I13" s="28" t="n">
        <f aca="false">ROUND(D13*IFERROR(INDEX(基本情報!$B$10:$B$13,MATCH(C13,基本情報!$A$10:$A$13,0)),0),0)</f>
        <v>776000</v>
      </c>
    </row>
    <row r="14" customFormat="false" ht="15" hidden="false" customHeight="false" outlineLevel="0" collapsed="false">
      <c r="A14" s="14" t="s">
        <v>92</v>
      </c>
      <c r="D14" s="31" t="n">
        <f aca="false">SUM(D6:D13)</f>
        <v>6851000</v>
      </c>
      <c r="E14" s="31" t="n">
        <f aca="false">SUM(E6:E13)</f>
        <v>10268500</v>
      </c>
      <c r="F14" s="15" t="s">
        <v>93</v>
      </c>
      <c r="G14" s="31" t="n">
        <f aca="false">SUM(G6:G13)</f>
        <v>3417500</v>
      </c>
      <c r="H14" s="31" t="n">
        <f aca="false">SUM(H6:H13)</f>
        <v>20831200</v>
      </c>
      <c r="I14" s="31" t="n">
        <f aca="false">SUM(I6:I13)</f>
        <v>14715200</v>
      </c>
    </row>
  </sheetData>
  <dataValidations count="1">
    <dataValidation allowBlank="false" errorStyle="stop" operator="between" showDropDown="false" showErrorMessage="false" showInputMessage="false" sqref="C6:C13" type="list">
      <formula1>"JPY,USD,EUR"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1" min="10" style="0" width="18"/>
  </cols>
  <sheetData>
    <row r="1" customFormat="false" ht="19.4" hidden="false" customHeight="false" outlineLevel="0" collapsed="false">
      <c r="A1" s="8" t="s">
        <v>94</v>
      </c>
    </row>
    <row r="2" customFormat="false" ht="15" hidden="false" customHeight="false" outlineLevel="0" collapsed="false">
      <c r="A2" s="15" t="s">
        <v>95</v>
      </c>
    </row>
    <row r="3" customFormat="false" ht="15" hidden="false" customHeight="false" outlineLevel="0" collapsed="false">
      <c r="A3" s="15" t="s">
        <v>96</v>
      </c>
    </row>
    <row r="4" customFormat="false" ht="15" hidden="false" customHeight="false" outlineLevel="0" collapsed="false">
      <c r="A4" s="15" t="s">
        <v>97</v>
      </c>
    </row>
    <row r="6" customFormat="false" ht="33.75" hidden="false" customHeight="true" outlineLevel="0" collapsed="false">
      <c r="A6" s="21" t="s">
        <v>98</v>
      </c>
      <c r="B6" s="21" t="s">
        <v>99</v>
      </c>
      <c r="C6" s="21" t="s">
        <v>32</v>
      </c>
      <c r="D6" s="21" t="s">
        <v>100</v>
      </c>
      <c r="E6" s="21" t="s">
        <v>101</v>
      </c>
      <c r="F6" s="21" t="s">
        <v>102</v>
      </c>
      <c r="G6" s="21" t="s">
        <v>103</v>
      </c>
      <c r="H6" s="21" t="s">
        <v>81</v>
      </c>
      <c r="I6" s="21" t="s">
        <v>66</v>
      </c>
      <c r="J6" s="21" t="s">
        <v>104</v>
      </c>
      <c r="K6" s="21" t="s">
        <v>105</v>
      </c>
    </row>
    <row r="7" customFormat="false" ht="15" hidden="false" customHeight="false" outlineLevel="0" collapsed="false">
      <c r="A7" s="7" t="s">
        <v>106</v>
      </c>
      <c r="B7" s="7" t="s">
        <v>107</v>
      </c>
      <c r="C7" s="23" t="s">
        <v>34</v>
      </c>
      <c r="D7" s="24" t="n">
        <v>3000000</v>
      </c>
      <c r="E7" s="24" t="n">
        <v>2600000</v>
      </c>
      <c r="F7" s="24" t="n">
        <v>10000000</v>
      </c>
      <c r="G7" s="23" t="s">
        <v>108</v>
      </c>
      <c r="H7" s="7" t="s">
        <v>109</v>
      </c>
      <c r="I7" s="24" t="n">
        <f aca="false">IF(A7="","",E7-D7)</f>
        <v>-400000</v>
      </c>
      <c r="J7" s="24" t="n">
        <f aca="false">IF(A7="","",ROUND(E7*IFERROR(INDEX(基本情報!$B$10:$B$13,MATCH(C7,基本情報!$A$10:$A$13,0)),0),0))</f>
        <v>2600000</v>
      </c>
      <c r="K7" s="24" t="n">
        <f aca="false">IF(A7="","",ROUND(D7*IFERROR(INDEX(基本情報!$B$10:$B$13,MATCH(C7,基本情報!$A$10:$A$13,0)),0),0))</f>
        <v>3000000</v>
      </c>
    </row>
    <row r="8" customFormat="false" ht="15" hidden="false" customHeight="false" outlineLevel="0" collapsed="false">
      <c r="A8" s="30"/>
      <c r="B8" s="30"/>
      <c r="C8" s="19"/>
      <c r="D8" s="26"/>
      <c r="E8" s="26"/>
      <c r="F8" s="26"/>
      <c r="G8" s="30"/>
      <c r="H8" s="30"/>
      <c r="I8" s="28" t="str">
        <f aca="false">IF(A8="","",E8-D8)</f>
        <v/>
      </c>
      <c r="J8" s="28" t="str">
        <f aca="false">IF(A8="","",ROUND(E8*IFERROR(INDEX(基本情報!$B$10:$B$13,MATCH(C8,基本情報!$A$10:$A$13,0)),0),0))</f>
        <v/>
      </c>
      <c r="K8" s="28" t="str">
        <f aca="false">IF(A8="","",ROUND(D8*IFERROR(INDEX(基本情報!$B$10:$B$13,MATCH(C8,基本情報!$A$10:$A$13,0)),0),0))</f>
        <v/>
      </c>
    </row>
    <row r="9" customFormat="false" ht="15" hidden="false" customHeight="false" outlineLevel="0" collapsed="false">
      <c r="A9" s="30"/>
      <c r="B9" s="30"/>
      <c r="C9" s="19"/>
      <c r="D9" s="26"/>
      <c r="E9" s="26"/>
      <c r="F9" s="26"/>
      <c r="G9" s="30"/>
      <c r="H9" s="30"/>
      <c r="I9" s="28" t="str">
        <f aca="false">IF(A9="","",E9-D9)</f>
        <v/>
      </c>
      <c r="J9" s="28" t="str">
        <f aca="false">IF(A9="","",ROUND(E9*IFERROR(INDEX(基本情報!$B$10:$B$13,MATCH(C9,基本情報!$A$10:$A$13,0)),0),0))</f>
        <v/>
      </c>
      <c r="K9" s="28" t="str">
        <f aca="false">IF(A9="","",ROUND(D9*IFERROR(INDEX(基本情報!$B$10:$B$13,MATCH(C9,基本情報!$A$10:$A$13,0)),0),0))</f>
        <v/>
      </c>
    </row>
    <row r="10" customFormat="false" ht="15" hidden="false" customHeight="false" outlineLevel="0" collapsed="false">
      <c r="A10" s="30"/>
      <c r="B10" s="30"/>
      <c r="C10" s="19"/>
      <c r="D10" s="26"/>
      <c r="E10" s="26"/>
      <c r="F10" s="26"/>
      <c r="G10" s="30"/>
      <c r="H10" s="30"/>
      <c r="I10" s="28" t="str">
        <f aca="false">IF(A10="","",E10-D10)</f>
        <v/>
      </c>
      <c r="J10" s="28" t="str">
        <f aca="false">IF(A10="","",ROUND(E10*IFERROR(INDEX(基本情報!$B$10:$B$13,MATCH(C10,基本情報!$A$10:$A$13,0)),0),0))</f>
        <v/>
      </c>
      <c r="K10" s="28" t="str">
        <f aca="false">IF(A10="","",ROUND(D10*IFERROR(INDEX(基本情報!$B$10:$B$13,MATCH(C10,基本情報!$A$10:$A$13,0)),0),0))</f>
        <v/>
      </c>
    </row>
    <row r="11" customFormat="false" ht="15" hidden="false" customHeight="false" outlineLevel="0" collapsed="false">
      <c r="A11" s="30"/>
      <c r="B11" s="30"/>
      <c r="C11" s="19"/>
      <c r="D11" s="26"/>
      <c r="E11" s="26"/>
      <c r="F11" s="26"/>
      <c r="G11" s="30"/>
      <c r="H11" s="30"/>
      <c r="I11" s="28" t="str">
        <f aca="false">IF(A11="","",E11-D11)</f>
        <v/>
      </c>
      <c r="J11" s="28" t="str">
        <f aca="false">IF(A11="","",ROUND(E11*IFERROR(INDEX(基本情報!$B$10:$B$13,MATCH(C11,基本情報!$A$10:$A$13,0)),0),0))</f>
        <v/>
      </c>
      <c r="K11" s="28" t="str">
        <f aca="false">IF(A11="","",ROUND(D11*IFERROR(INDEX(基本情報!$B$10:$B$13,MATCH(C11,基本情報!$A$10:$A$13,0)),0),0))</f>
        <v/>
      </c>
    </row>
    <row r="12" customFormat="false" ht="15" hidden="false" customHeight="false" outlineLevel="0" collapsed="false">
      <c r="A12" s="30"/>
      <c r="B12" s="30"/>
      <c r="C12" s="19"/>
      <c r="D12" s="26"/>
      <c r="E12" s="26"/>
      <c r="F12" s="26"/>
      <c r="G12" s="30"/>
      <c r="H12" s="30"/>
      <c r="I12" s="28" t="str">
        <f aca="false">IF(A12="","",E12-D12)</f>
        <v/>
      </c>
      <c r="J12" s="28" t="str">
        <f aca="false">IF(A12="","",ROUND(E12*IFERROR(INDEX(基本情報!$B$10:$B$13,MATCH(C12,基本情報!$A$10:$A$13,0)),0),0))</f>
        <v/>
      </c>
      <c r="K12" s="28" t="str">
        <f aca="false">IF(A12="","",ROUND(D12*IFERROR(INDEX(基本情報!$B$10:$B$13,MATCH(C12,基本情報!$A$10:$A$13,0)),0),0))</f>
        <v/>
      </c>
    </row>
    <row r="13" customFormat="false" ht="15" hidden="false" customHeight="false" outlineLevel="0" collapsed="false">
      <c r="A13" s="30"/>
      <c r="B13" s="30"/>
      <c r="C13" s="19"/>
      <c r="D13" s="26"/>
      <c r="E13" s="26"/>
      <c r="F13" s="26"/>
      <c r="G13" s="30"/>
      <c r="H13" s="30"/>
      <c r="I13" s="28" t="str">
        <f aca="false">IF(A13="","",E13-D13)</f>
        <v/>
      </c>
      <c r="J13" s="28" t="str">
        <f aca="false">IF(A13="","",ROUND(E13*IFERROR(INDEX(基本情報!$B$10:$B$13,MATCH(C13,基本情報!$A$10:$A$13,0)),0),0))</f>
        <v/>
      </c>
      <c r="K13" s="28" t="str">
        <f aca="false">IF(A13="","",ROUND(D13*IFERROR(INDEX(基本情報!$B$10:$B$13,MATCH(C13,基本情報!$A$10:$A$13,0)),0),0))</f>
        <v/>
      </c>
    </row>
    <row r="14" customFormat="false" ht="15" hidden="false" customHeight="false" outlineLevel="0" collapsed="false">
      <c r="A14" s="30"/>
      <c r="B14" s="30"/>
      <c r="C14" s="19"/>
      <c r="D14" s="26"/>
      <c r="E14" s="26"/>
      <c r="F14" s="26"/>
      <c r="G14" s="30"/>
      <c r="H14" s="30"/>
      <c r="I14" s="28" t="str">
        <f aca="false">IF(A14="","",E14-D14)</f>
        <v/>
      </c>
      <c r="J14" s="28" t="str">
        <f aca="false">IF(A14="","",ROUND(E14*IFERROR(INDEX(基本情報!$B$10:$B$13,MATCH(C14,基本情報!$A$10:$A$13,0)),0),0))</f>
        <v/>
      </c>
      <c r="K14" s="28" t="str">
        <f aca="false">IF(A14="","",ROUND(D14*IFERROR(INDEX(基本情報!$B$10:$B$13,MATCH(C14,基本情報!$A$10:$A$13,0)),0),0))</f>
        <v/>
      </c>
    </row>
    <row r="15" customFormat="false" ht="15" hidden="false" customHeight="false" outlineLevel="0" collapsed="false">
      <c r="A15" s="14" t="s">
        <v>110</v>
      </c>
      <c r="J15" s="31" t="n">
        <f aca="false">SUM(J8:J14)</f>
        <v>0</v>
      </c>
      <c r="K15" s="31" t="n">
        <f aca="false">SUM(K8:K14)</f>
        <v>0</v>
      </c>
    </row>
    <row r="17" customFormat="false" ht="15" hidden="false" customHeight="false" outlineLevel="0" collapsed="false">
      <c r="A17" s="15" t="s">
        <v>111</v>
      </c>
    </row>
  </sheetData>
  <dataValidations count="1">
    <dataValidation allowBlank="true" errorStyle="stop" operator="between" showDropDown="false" showErrorMessage="false" showInputMessage="false" sqref="C7:C14" type="list">
      <formula1>"JPY,USD,EUR"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7"/>
  </cols>
  <sheetData>
    <row r="1" customFormat="false" ht="19.4" hidden="false" customHeight="false" outlineLevel="0" collapsed="false">
      <c r="A1" s="8" t="s">
        <v>112</v>
      </c>
    </row>
    <row r="2" customFormat="false" ht="15" hidden="false" customHeight="false" outlineLevel="0" collapsed="false">
      <c r="A2" s="15" t="s">
        <v>113</v>
      </c>
    </row>
    <row r="4" customFormat="false" ht="33.75" hidden="false" customHeight="true" outlineLevel="0" collapsed="false">
      <c r="A4" s="21" t="s">
        <v>114</v>
      </c>
      <c r="B4" s="21" t="s">
        <v>32</v>
      </c>
      <c r="C4" s="21" t="s">
        <v>115</v>
      </c>
      <c r="D4" s="21" t="s">
        <v>116</v>
      </c>
    </row>
    <row r="5" customFormat="false" ht="15" hidden="false" customHeight="false" outlineLevel="0" collapsed="false">
      <c r="A5" s="7" t="s">
        <v>117</v>
      </c>
      <c r="B5" s="23" t="s">
        <v>34</v>
      </c>
      <c r="C5" s="24" t="n">
        <v>2000000</v>
      </c>
      <c r="D5" s="24" t="n">
        <f aca="false">IF(A5="","",ROUND(C5*IFERROR(INDEX(基本情報!$B$10:$B$13,MATCH(B5,基本情報!$A$10:$A$13,0)),0),0))</f>
        <v>2000000</v>
      </c>
    </row>
    <row r="6" customFormat="false" ht="15" hidden="false" customHeight="false" outlineLevel="0" collapsed="false">
      <c r="A6" s="30"/>
      <c r="B6" s="19"/>
      <c r="C6" s="26"/>
      <c r="D6" s="28" t="str">
        <f aca="false">IF(A6="","",ROUND(C6*IFERROR(INDEX(基本情報!$B$10:$B$13,MATCH(B6,基本情報!$A$10:$A$13,0)),0),0))</f>
        <v/>
      </c>
    </row>
    <row r="7" customFormat="false" ht="15" hidden="false" customHeight="false" outlineLevel="0" collapsed="false">
      <c r="A7" s="30"/>
      <c r="B7" s="19"/>
      <c r="C7" s="26"/>
      <c r="D7" s="28" t="str">
        <f aca="false">IF(A7="","",ROUND(C7*IFERROR(INDEX(基本情報!$B$10:$B$13,MATCH(B7,基本情報!$A$10:$A$13,0)),0),0))</f>
        <v/>
      </c>
    </row>
    <row r="8" customFormat="false" ht="15" hidden="false" customHeight="false" outlineLevel="0" collapsed="false">
      <c r="A8" s="30"/>
      <c r="B8" s="19"/>
      <c r="C8" s="26"/>
      <c r="D8" s="28" t="str">
        <f aca="false">IF(A8="","",ROUND(C8*IFERROR(INDEX(基本情報!$B$10:$B$13,MATCH(B8,基本情報!$A$10:$A$13,0)),0),0))</f>
        <v/>
      </c>
    </row>
    <row r="9" customFormat="false" ht="15" hidden="false" customHeight="false" outlineLevel="0" collapsed="false">
      <c r="A9" s="30"/>
      <c r="B9" s="19"/>
      <c r="C9" s="26"/>
      <c r="D9" s="28" t="str">
        <f aca="false">IF(A9="","",ROUND(C9*IFERROR(INDEX(基本情報!$B$10:$B$13,MATCH(B9,基本情報!$A$10:$A$13,0)),0),0))</f>
        <v/>
      </c>
    </row>
    <row r="10" customFormat="false" ht="15" hidden="false" customHeight="false" outlineLevel="0" collapsed="false">
      <c r="A10" s="30"/>
      <c r="B10" s="19"/>
      <c r="C10" s="26"/>
      <c r="D10" s="28" t="str">
        <f aca="false">IF(A10="","",ROUND(C10*IFERROR(INDEX(基本情報!$B$10:$B$13,MATCH(B10,基本情報!$A$10:$A$13,0)),0),0))</f>
        <v/>
      </c>
    </row>
    <row r="11" customFormat="false" ht="15" hidden="false" customHeight="false" outlineLevel="0" collapsed="false">
      <c r="A11" s="30"/>
      <c r="B11" s="19"/>
      <c r="C11" s="26"/>
      <c r="D11" s="28" t="str">
        <f aca="false">IF(A11="","",ROUND(C11*IFERROR(INDEX(基本情報!$B$10:$B$13,MATCH(B11,基本情報!$A$10:$A$13,0)),0),0))</f>
        <v/>
      </c>
    </row>
    <row r="12" customFormat="false" ht="15" hidden="false" customHeight="false" outlineLevel="0" collapsed="false">
      <c r="A12" s="30"/>
      <c r="B12" s="19"/>
      <c r="C12" s="26"/>
      <c r="D12" s="28" t="str">
        <f aca="false">IF(A12="","",ROUND(C12*IFERROR(INDEX(基本情報!$B$10:$B$13,MATCH(B12,基本情報!$A$10:$A$13,0)),0),0))</f>
        <v/>
      </c>
    </row>
    <row r="13" customFormat="false" ht="15" hidden="false" customHeight="false" outlineLevel="0" collapsed="false">
      <c r="A13" s="30"/>
      <c r="B13" s="19"/>
      <c r="C13" s="26"/>
      <c r="D13" s="28" t="str">
        <f aca="false">IF(A13="","",ROUND(C13*IFERROR(INDEX(基本情報!$B$10:$B$13,MATCH(B13,基本情報!$A$10:$A$13,0)),0),0))</f>
        <v/>
      </c>
    </row>
    <row r="14" customFormat="false" ht="15" hidden="false" customHeight="false" outlineLevel="0" collapsed="false">
      <c r="A14" s="30"/>
      <c r="B14" s="19"/>
      <c r="C14" s="26"/>
      <c r="D14" s="28" t="str">
        <f aca="false">IF(A14="","",ROUND(C14*IFERROR(INDEX(基本情報!$B$10:$B$13,MATCH(B14,基本情報!$A$10:$A$13,0)),0),0))</f>
        <v/>
      </c>
    </row>
    <row r="15" customFormat="false" ht="15" hidden="false" customHeight="false" outlineLevel="0" collapsed="false">
      <c r="A15" s="30"/>
      <c r="B15" s="19"/>
      <c r="C15" s="26"/>
      <c r="D15" s="28" t="str">
        <f aca="false">IF(A15="","",ROUND(C15*IFERROR(INDEX(基本情報!$B$10:$B$13,MATCH(B15,基本情報!$A$10:$A$13,0)),0),0))</f>
        <v/>
      </c>
    </row>
    <row r="16" customFormat="false" ht="15" hidden="false" customHeight="false" outlineLevel="0" collapsed="false">
      <c r="A16" s="30"/>
      <c r="B16" s="19"/>
      <c r="C16" s="26"/>
      <c r="D16" s="28" t="str">
        <f aca="false">IF(A16="","",ROUND(C16*IFERROR(INDEX(基本情報!$B$10:$B$13,MATCH(B16,基本情報!$A$10:$A$13,0)),0),0))</f>
        <v/>
      </c>
    </row>
    <row r="17" customFormat="false" ht="15" hidden="false" customHeight="false" outlineLevel="0" collapsed="false">
      <c r="A17" s="30"/>
      <c r="B17" s="19"/>
      <c r="C17" s="26"/>
      <c r="D17" s="28" t="str">
        <f aca="false">IF(A17="","",ROUND(C17*IFERROR(INDEX(基本情報!$B$10:$B$13,MATCH(B17,基本情報!$A$10:$A$13,0)),0),0))</f>
        <v/>
      </c>
    </row>
    <row r="18" customFormat="false" ht="15" hidden="false" customHeight="false" outlineLevel="0" collapsed="false">
      <c r="A18" s="30"/>
      <c r="B18" s="19"/>
      <c r="C18" s="26"/>
      <c r="D18" s="28" t="str">
        <f aca="false">IF(A18="","",ROUND(C18*IFERROR(INDEX(基本情報!$B$10:$B$13,MATCH(B18,基本情報!$A$10:$A$13,0)),0),0))</f>
        <v/>
      </c>
    </row>
    <row r="19" customFormat="false" ht="15" hidden="false" customHeight="false" outlineLevel="0" collapsed="false">
      <c r="A19" s="30"/>
      <c r="B19" s="19"/>
      <c r="C19" s="26"/>
      <c r="D19" s="28" t="str">
        <f aca="false">IF(A19="","",ROUND(C19*IFERROR(INDEX(基本情報!$B$10:$B$13,MATCH(B19,基本情報!$A$10:$A$13,0)),0),0))</f>
        <v/>
      </c>
    </row>
    <row r="20" customFormat="false" ht="15" hidden="false" customHeight="false" outlineLevel="0" collapsed="false">
      <c r="A20" s="14" t="s">
        <v>110</v>
      </c>
      <c r="D20" s="31" t="n">
        <f aca="false">SUM(D6:D19)</f>
        <v>0</v>
      </c>
    </row>
  </sheetData>
  <dataValidations count="1">
    <dataValidation allowBlank="true" errorStyle="stop" operator="between" showDropDown="false" showErrorMessage="false" showInputMessage="false" sqref="B5:B19" type="list">
      <formula1>"JPY,USD,EUR"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9.4" hidden="false" customHeight="false" outlineLevel="0" collapsed="false">
      <c r="A1" s="8" t="s">
        <v>118</v>
      </c>
    </row>
    <row r="2" customFormat="false" ht="15" hidden="false" customHeight="false" outlineLevel="0" collapsed="false">
      <c r="A2" s="15" t="s">
        <v>119</v>
      </c>
    </row>
    <row r="3" customFormat="false" ht="15" hidden="false" customHeight="false" outlineLevel="0" collapsed="false">
      <c r="A3" s="15" t="s">
        <v>120</v>
      </c>
    </row>
    <row r="5" customFormat="false" ht="33.75" hidden="false" customHeight="true" outlineLevel="0" collapsed="false">
      <c r="A5" s="21" t="s">
        <v>121</v>
      </c>
      <c r="B5" s="21" t="s">
        <v>78</v>
      </c>
      <c r="C5" s="21" t="s">
        <v>49</v>
      </c>
      <c r="D5" s="21" t="s">
        <v>47</v>
      </c>
      <c r="E5" s="21" t="s">
        <v>48</v>
      </c>
      <c r="F5" s="21" t="s">
        <v>50</v>
      </c>
      <c r="G5" s="21" t="s">
        <v>53</v>
      </c>
      <c r="H5" s="21" t="s">
        <v>122</v>
      </c>
    </row>
    <row r="6" customFormat="false" ht="15" hidden="false" customHeight="false" outlineLevel="0" collapsed="false">
      <c r="A6" s="7" t="s">
        <v>123</v>
      </c>
      <c r="B6" s="7" t="s">
        <v>124</v>
      </c>
      <c r="C6" s="23" t="s">
        <v>125</v>
      </c>
      <c r="D6" s="24" t="n">
        <v>3000000</v>
      </c>
      <c r="E6" s="24" t="n">
        <v>1800000</v>
      </c>
      <c r="F6" s="25" t="n">
        <v>2.5</v>
      </c>
      <c r="G6" s="24" t="n">
        <v>45000</v>
      </c>
      <c r="H6" s="24" t="n">
        <f aca="false">IF(A6="","",D6-E6)</f>
        <v>1200000</v>
      </c>
    </row>
    <row r="7" customFormat="false" ht="15" hidden="false" customHeight="false" outlineLevel="0" collapsed="false">
      <c r="A7" s="30"/>
      <c r="B7" s="30"/>
      <c r="C7" s="30"/>
      <c r="D7" s="26"/>
      <c r="E7" s="26"/>
      <c r="F7" s="27"/>
      <c r="G7" s="26"/>
      <c r="H7" s="28" t="str">
        <f aca="false">IF(A7="","",D7-E7)</f>
        <v/>
      </c>
    </row>
    <row r="8" customFormat="false" ht="15" hidden="false" customHeight="false" outlineLevel="0" collapsed="false">
      <c r="A8" s="30"/>
      <c r="B8" s="30"/>
      <c r="C8" s="30"/>
      <c r="D8" s="26"/>
      <c r="E8" s="26"/>
      <c r="F8" s="27"/>
      <c r="G8" s="26"/>
      <c r="H8" s="28" t="str">
        <f aca="false">IF(A8="","",D8-E8)</f>
        <v/>
      </c>
    </row>
    <row r="9" customFormat="false" ht="15" hidden="false" customHeight="false" outlineLevel="0" collapsed="false">
      <c r="A9" s="30"/>
      <c r="B9" s="30"/>
      <c r="C9" s="30"/>
      <c r="D9" s="26"/>
      <c r="E9" s="26"/>
      <c r="F9" s="27"/>
      <c r="G9" s="26"/>
      <c r="H9" s="28" t="str">
        <f aca="false">IF(A9="","",D9-E9)</f>
        <v/>
      </c>
    </row>
    <row r="10" customFormat="false" ht="15" hidden="false" customHeight="false" outlineLevel="0" collapsed="false">
      <c r="A10" s="30"/>
      <c r="B10" s="30"/>
      <c r="C10" s="30"/>
      <c r="D10" s="26"/>
      <c r="E10" s="26"/>
      <c r="F10" s="27"/>
      <c r="G10" s="26"/>
      <c r="H10" s="28" t="str">
        <f aca="false">IF(A10="","",D10-E10)</f>
        <v/>
      </c>
    </row>
    <row r="11" customFormat="false" ht="15" hidden="false" customHeight="false" outlineLevel="0" collapsed="false">
      <c r="A11" s="30"/>
      <c r="B11" s="30"/>
      <c r="C11" s="30"/>
      <c r="D11" s="26"/>
      <c r="E11" s="26"/>
      <c r="F11" s="27"/>
      <c r="G11" s="26"/>
      <c r="H11" s="28" t="str">
        <f aca="false">IF(A11="","",D11-E11)</f>
        <v/>
      </c>
    </row>
    <row r="12" customFormat="false" ht="15" hidden="false" customHeight="false" outlineLevel="0" collapsed="false">
      <c r="A12" s="30"/>
      <c r="B12" s="30"/>
      <c r="C12" s="30"/>
      <c r="D12" s="26"/>
      <c r="E12" s="26"/>
      <c r="F12" s="27"/>
      <c r="G12" s="26"/>
      <c r="H12" s="28" t="str">
        <f aca="false">IF(A12="","",D12-E12)</f>
        <v/>
      </c>
    </row>
    <row r="13" customFormat="false" ht="15" hidden="false" customHeight="false" outlineLevel="0" collapsed="false">
      <c r="A13" s="30"/>
      <c r="B13" s="30"/>
      <c r="C13" s="30"/>
      <c r="D13" s="26"/>
      <c r="E13" s="26"/>
      <c r="F13" s="27"/>
      <c r="G13" s="26"/>
      <c r="H13" s="28" t="str">
        <f aca="false">IF(A13="","",D13-E13)</f>
        <v/>
      </c>
    </row>
    <row r="14" customFormat="false" ht="15" hidden="false" customHeight="false" outlineLevel="0" collapsed="false">
      <c r="A14" s="30"/>
      <c r="B14" s="30"/>
      <c r="C14" s="30"/>
      <c r="D14" s="26"/>
      <c r="E14" s="26"/>
      <c r="F14" s="27"/>
      <c r="G14" s="26"/>
      <c r="H14" s="28" t="str">
        <f aca="false">IF(A14="","",D14-E14)</f>
        <v/>
      </c>
    </row>
    <row r="15" customFormat="false" ht="15" hidden="false" customHeight="false" outlineLevel="0" collapsed="false">
      <c r="A15" s="30"/>
      <c r="B15" s="30"/>
      <c r="C15" s="30"/>
      <c r="D15" s="26"/>
      <c r="E15" s="26"/>
      <c r="F15" s="27"/>
      <c r="G15" s="26"/>
      <c r="H15" s="28" t="str">
        <f aca="false">IF(A15="","",D15-E15)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8" t="s">
        <v>126</v>
      </c>
    </row>
    <row r="2" customFormat="false" ht="15" hidden="false" customHeight="false" outlineLevel="0" collapsed="false">
      <c r="A2" s="15" t="s">
        <v>127</v>
      </c>
    </row>
    <row r="4" customFormat="false" ht="15" hidden="false" customHeight="false" outlineLevel="0" collapsed="false">
      <c r="A4" s="14" t="s">
        <v>128</v>
      </c>
    </row>
    <row r="5" customFormat="false" ht="15" hidden="false" customHeight="false" outlineLevel="0" collapsed="false">
      <c r="A5" s="10" t="s">
        <v>129</v>
      </c>
      <c r="B5" s="28" t="n">
        <f aca="false">有価証券!H14</f>
        <v>20831200</v>
      </c>
      <c r="C5" s="15" t="s">
        <v>130</v>
      </c>
    </row>
    <row r="6" customFormat="false" ht="15" hidden="false" customHeight="false" outlineLevel="0" collapsed="false">
      <c r="A6" s="10" t="s">
        <v>131</v>
      </c>
      <c r="B6" s="28" t="n">
        <f aca="false">有価証券!H14-有価証券!I14</f>
        <v>6116000</v>
      </c>
      <c r="C6" s="15" t="s">
        <v>132</v>
      </c>
    </row>
    <row r="7" customFormat="false" ht="15" hidden="false" customHeight="false" outlineLevel="0" collapsed="false">
      <c r="A7" s="10" t="s">
        <v>133</v>
      </c>
      <c r="B7" s="28" t="n">
        <f aca="false">保険!J15</f>
        <v>0</v>
      </c>
      <c r="C7" s="15" t="s">
        <v>134</v>
      </c>
    </row>
    <row r="8" customFormat="false" ht="15" hidden="false" customHeight="false" outlineLevel="0" collapsed="false">
      <c r="A8" s="10" t="s">
        <v>131</v>
      </c>
      <c r="B8" s="28" t="n">
        <f aca="false">保険!J15-保険!K15</f>
        <v>0</v>
      </c>
      <c r="C8" s="15" t="s">
        <v>135</v>
      </c>
    </row>
    <row r="9" customFormat="false" ht="15" hidden="false" customHeight="false" outlineLevel="0" collapsed="false">
      <c r="A9" s="10" t="s">
        <v>136</v>
      </c>
      <c r="B9" s="28" t="n">
        <f aca="false">預貯金!D20</f>
        <v>0</v>
      </c>
      <c r="C9" s="15" t="s">
        <v>137</v>
      </c>
    </row>
    <row r="10" customFormat="false" ht="15" hidden="false" customHeight="false" outlineLevel="0" collapsed="false">
      <c r="A10" s="32" t="s">
        <v>138</v>
      </c>
      <c r="B10" s="33" t="n">
        <f aca="false">有価証券!H14+保険!J15+預貯金!D20</f>
        <v>20831200</v>
      </c>
      <c r="C10" s="15" t="s">
        <v>139</v>
      </c>
    </row>
    <row r="11" customFormat="false" ht="15" hidden="false" customHeight="false" outlineLevel="0" collapsed="false">
      <c r="A11" s="10" t="s">
        <v>131</v>
      </c>
      <c r="B11" s="28" t="n">
        <f aca="false">有価証券!H14+保険!J15-有価証券!I14-保険!K15</f>
        <v>6116000</v>
      </c>
      <c r="C11" s="15" t="s">
        <v>140</v>
      </c>
    </row>
    <row r="13" customFormat="false" ht="15" hidden="false" customHeight="false" outlineLevel="0" collapsed="false">
      <c r="A13" s="14" t="s">
        <v>141</v>
      </c>
    </row>
    <row r="14" customFormat="false" ht="15" hidden="false" customHeight="false" outlineLevel="0" collapsed="false">
      <c r="A14" s="10" t="s">
        <v>61</v>
      </c>
      <c r="B14" s="28" t="n">
        <f aca="false">SUM(不動産!$U$6:$U$14)</f>
        <v>0</v>
      </c>
      <c r="C14" s="15" t="s">
        <v>142</v>
      </c>
    </row>
    <row r="15" customFormat="false" ht="15" hidden="false" customHeight="false" outlineLevel="0" collapsed="false">
      <c r="A15" s="10" t="s">
        <v>143</v>
      </c>
      <c r="B15" s="28" t="n">
        <f aca="false">SUM(不動産!$F$6:$F$14)</f>
        <v>0</v>
      </c>
      <c r="C15" s="15"/>
    </row>
    <row r="16" customFormat="false" ht="15" hidden="false" customHeight="false" outlineLevel="0" collapsed="false">
      <c r="A16" s="10" t="s">
        <v>144</v>
      </c>
      <c r="B16" s="28" t="n">
        <f aca="false">SUM(不動産!$G$6:$G$14)</f>
        <v>0</v>
      </c>
      <c r="C16" s="15" t="s">
        <v>145</v>
      </c>
    </row>
    <row r="17" customFormat="false" ht="15" hidden="false" customHeight="false" outlineLevel="0" collapsed="false">
      <c r="A17" s="10" t="s">
        <v>146</v>
      </c>
      <c r="B17" s="28" t="n">
        <f aca="false">SUM(不動産!$H$6:$H$14)</f>
        <v>0</v>
      </c>
      <c r="C17" s="15"/>
    </row>
    <row r="18" customFormat="false" ht="15" hidden="false" customHeight="false" outlineLevel="0" collapsed="false">
      <c r="A18" s="10" t="s">
        <v>62</v>
      </c>
      <c r="B18" s="28" t="n">
        <f aca="false">SUM(不動産!$V$6:$V$14)</f>
        <v>0</v>
      </c>
      <c r="C18" s="15" t="s">
        <v>147</v>
      </c>
    </row>
    <row r="19" customFormat="false" ht="15" hidden="false" customHeight="false" outlineLevel="0" collapsed="false">
      <c r="A19" s="10" t="s">
        <v>148</v>
      </c>
      <c r="B19" s="34" t="n">
        <f aca="false">IFERROR(SUM(不動産!$V$6:$V$14)/SUM(不動産!$G$6:$G$14),0)</f>
        <v>0</v>
      </c>
      <c r="C19" s="15" t="s">
        <v>149</v>
      </c>
    </row>
    <row r="20" customFormat="false" ht="15" hidden="false" customHeight="false" outlineLevel="0" collapsed="false">
      <c r="A20" s="10" t="s">
        <v>150</v>
      </c>
      <c r="B20" s="28" t="n">
        <f aca="false">SUM(不動産!$X$6:$X$14)</f>
        <v>0</v>
      </c>
      <c r="C20" s="15" t="s">
        <v>151</v>
      </c>
    </row>
    <row r="21" customFormat="false" ht="15" hidden="false" customHeight="false" outlineLevel="0" collapsed="false">
      <c r="A21" s="10" t="s">
        <v>152</v>
      </c>
      <c r="B21" s="28" t="n">
        <f aca="false">IF(COUNT(不動産!$R$6:$R$14)=0,0,SUM(不動産!$R$6:$R$14))</f>
        <v>0</v>
      </c>
      <c r="C21" s="15" t="s">
        <v>153</v>
      </c>
    </row>
    <row r="22" customFormat="false" ht="15" hidden="false" customHeight="false" outlineLevel="0" collapsed="false">
      <c r="A22" s="10" t="s">
        <v>131</v>
      </c>
      <c r="B22" s="28" t="n">
        <f aca="false">IF(COUNT(不動産!$R$6:$R$14)=0,0,SUM(不動産!$Z$6:$Z$14))</f>
        <v>0</v>
      </c>
      <c r="C22" s="15" t="s">
        <v>154</v>
      </c>
    </row>
    <row r="23" customFormat="false" ht="15" hidden="false" customHeight="false" outlineLevel="0" collapsed="false">
      <c r="A23" s="35" t="s">
        <v>155</v>
      </c>
      <c r="B23" s="34" t="n">
        <f aca="false">IFERROR(SUM(不動産!$H$6:$H$14)/SUM(不動産!$R$6:$R$14),0)</f>
        <v>0</v>
      </c>
      <c r="C23" s="15" t="s">
        <v>156</v>
      </c>
    </row>
    <row r="25" customFormat="false" ht="15" hidden="false" customHeight="false" outlineLevel="0" collapsed="false">
      <c r="A25" s="14" t="s">
        <v>157</v>
      </c>
    </row>
    <row r="26" customFormat="false" ht="15" hidden="false" customHeight="false" outlineLevel="0" collapsed="false">
      <c r="A26" s="10" t="s">
        <v>158</v>
      </c>
      <c r="B26" s="28" t="n">
        <f aca="false">SUM(不動産!$H$6:$H$14)</f>
        <v>0</v>
      </c>
      <c r="C26" s="15"/>
    </row>
    <row r="27" customFormat="false" ht="15" hidden="false" customHeight="false" outlineLevel="0" collapsed="false">
      <c r="A27" s="10" t="s">
        <v>159</v>
      </c>
      <c r="B27" s="28" t="n">
        <f aca="false">SUM(その他の借入!E7:E15)</f>
        <v>0</v>
      </c>
      <c r="C27" s="15" t="s">
        <v>160</v>
      </c>
    </row>
    <row r="28" customFormat="false" ht="15" hidden="false" customHeight="false" outlineLevel="0" collapsed="false">
      <c r="A28" s="32" t="s">
        <v>161</v>
      </c>
      <c r="B28" s="33" t="n">
        <f aca="false">SUM(不動産!$H$6:$H$14)+SUM(その他の借入!E7:E15)</f>
        <v>0</v>
      </c>
      <c r="C28" s="15" t="s">
        <v>162</v>
      </c>
    </row>
    <row r="30" customFormat="false" ht="15" hidden="false" customHeight="false" outlineLevel="0" collapsed="false">
      <c r="A30" s="14" t="s">
        <v>163</v>
      </c>
    </row>
    <row r="31" customFormat="false" ht="15" hidden="false" customHeight="false" outlineLevel="0" collapsed="false">
      <c r="A31" s="10" t="s">
        <v>164</v>
      </c>
      <c r="B31" s="36" t="str">
        <f aca="false">COUNT(不動産!$R$6:$R$14)&amp;" / "&amp;COUNTA(不動産!$A$6:$A$14)&amp;" 物件"</f>
        <v>0 / 0 物件</v>
      </c>
      <c r="C31" s="12" t="s">
        <v>165</v>
      </c>
    </row>
    <row r="32" customFormat="false" ht="15" hidden="false" customHeight="false" outlineLevel="0" collapsed="false">
      <c r="A32" s="10" t="s">
        <v>166</v>
      </c>
      <c r="B32" s="28" t="n">
        <f aca="false">IF(COUNT(不動産!$R$6:$R$14)&lt;&gt;COUNTA(不動産!$A$6:$A$14),"時価未入力あり",有価証券!H14+保険!J15+預貯金!D20+SUM(不動産!$R$6:$R$14))</f>
        <v>20831200</v>
      </c>
      <c r="C32" s="12" t="s">
        <v>167</v>
      </c>
    </row>
    <row r="33" customFormat="false" ht="15" hidden="false" customHeight="false" outlineLevel="0" collapsed="false">
      <c r="A33" s="32" t="s">
        <v>168</v>
      </c>
      <c r="B33" s="33" t="n">
        <f aca="false">IF(COUNT(不動産!$R$6:$R$14)&lt;&gt;COUNTA(不動産!$A$6:$A$14),"時価未入力あり",有価証券!H14+保険!J15+預貯金!D20+SUM(不動産!$R$6:$R$14)-(SUM(不動産!$H$6:$H$14)+SUM(その他の借入!E7:E15)))</f>
        <v>20831200</v>
      </c>
      <c r="C33" s="12" t="s">
        <v>169</v>
      </c>
    </row>
    <row r="36" customFormat="false" ht="15" hidden="false" customHeight="false" outlineLevel="0" collapsed="false">
      <c r="A36" s="14" t="s">
        <v>170</v>
      </c>
    </row>
    <row r="37" customFormat="false" ht="15" hidden="false" customHeight="false" outlineLevel="0" collapsed="false">
      <c r="A37" s="15" t="s">
        <v>171</v>
      </c>
    </row>
    <row r="38" customFormat="false" ht="15" hidden="false" customHeight="false" outlineLevel="0" collapsed="false">
      <c r="A38" s="10" t="s">
        <v>172</v>
      </c>
      <c r="B38" s="36" t="str">
        <f aca="false">IF(SUMPRODUCT((不動産!A6:A14&lt;&gt;"")*(不動産!H6:H14&gt;不動産!G6:G14))&gt;0,"要確認","OK")</f>
        <v>OK</v>
      </c>
      <c r="C38" s="15" t="s">
        <v>173</v>
      </c>
    </row>
    <row r="39" customFormat="false" ht="15" hidden="false" customHeight="false" outlineLevel="0" collapsed="false">
      <c r="A39" s="10" t="s">
        <v>174</v>
      </c>
      <c r="B39" s="36" t="str">
        <f aca="false">IF(SUMPRODUCT((その他の借入!A7:A15&lt;&gt;"")*(その他の借入!E7:E15&gt;その他の借入!D7:D15))&gt;0,"要確認","OK")</f>
        <v>OK</v>
      </c>
      <c r="C39" s="15" t="s">
        <v>175</v>
      </c>
    </row>
    <row r="40" customFormat="false" ht="15" hidden="false" customHeight="false" outlineLevel="0" collapsed="false">
      <c r="A40" s="10" t="s">
        <v>176</v>
      </c>
      <c r="B40" s="36" t="str">
        <f aca="false">IF(SUMPRODUCT((不動産!F6:H14&lt;0)*1)+SUMPRODUCT((有価証券!D6:E13&lt;0)*1)&gt;0,"要確認","OK")</f>
        <v>OK</v>
      </c>
      <c r="C40" s="15" t="s">
        <v>177</v>
      </c>
    </row>
    <row r="41" customFormat="false" ht="15" hidden="false" customHeight="false" outlineLevel="0" collapsed="false">
      <c r="A41" s="10" t="s">
        <v>178</v>
      </c>
      <c r="B41" s="36" t="str">
        <f aca="false">IF(SUMPRODUCT(ISERROR(MATCH(有価証券!C6:C13,基本情報!$A$10:$A$13,0))*1)&gt;0,"要確認","OK")</f>
        <v>OK</v>
      </c>
      <c r="C41" s="15" t="s">
        <v>179</v>
      </c>
    </row>
    <row r="42" customFormat="false" ht="15" hidden="false" customHeight="false" outlineLevel="0" collapsed="false">
      <c r="A42" s="10" t="s">
        <v>180</v>
      </c>
      <c r="B42" s="36" t="str">
        <f aca="false">IF(OR(基本情報!B4="",基本情報!B5=""),"要確認","OK")</f>
        <v>OK</v>
      </c>
      <c r="C42" s="15" t="s">
        <v>181</v>
      </c>
    </row>
    <row r="43" customFormat="false" ht="14.15" hidden="false" customHeight="false" outlineLevel="0" collapsed="false">
      <c r="A43" s="10" t="s">
        <v>182</v>
      </c>
      <c r="B43" s="36" t="str">
        <f aca="false">IF(SUMPRODUCT((不動産!A6:A14&lt;&gt;"")*((不動産!L6:L14&lt;0)+(不動産!L6:L14&gt;11)))&gt;0,"要確認","OK")</f>
        <v>OK</v>
      </c>
      <c r="C43" s="37" t="s">
        <v>183</v>
      </c>
    </row>
    <row r="44" customFormat="false" ht="15" hidden="false" customHeight="false" outlineLevel="0" collapsed="false">
      <c r="A44" s="10" t="s">
        <v>184</v>
      </c>
      <c r="B44" s="36" t="str">
        <f aca="false">IF(SUMPRODUCT((保険!A8:A14&lt;&gt;"")*ISERROR(MATCH(保険!C8:C14,基本情報!$A$10:$A$13,0)))&gt;0,"要確認","OK")</f>
        <v>OK</v>
      </c>
      <c r="C44" s="15" t="s">
        <v>179</v>
      </c>
    </row>
  </sheetData>
  <conditionalFormatting sqref="B38:B44">
    <cfRule type="cellIs" priority="2" operator="equal" aboveAverage="0" equalAverage="0" bottom="0" percent="0" rank="0" text="" dxfId="0">
      <formula>"要確認"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2026-09-06T11:34:34Z</dcterms:created>
  <dc:creator>openpyxl</dc:creator>
  <dc:description/>
  <dc:language>en-US</dc:language>
  <cp:lastModifiedBy/>
  <dcterms:modified xsi:type="dcterms:W3CDTF">2026-09-06T11:34:34Z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